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دانشگاه\کارشناسی\سیستم های اطلاعات مدیریت\پروژه\phase 3\"/>
    </mc:Choice>
  </mc:AlternateContent>
  <bookViews>
    <workbookView xWindow="0" yWindow="0" windowWidth="23040" windowHeight="8436"/>
  </bookViews>
  <sheets>
    <sheet name="گزارش شیفت" sheetId="1" r:id="rId1"/>
    <sheet name="واحد فرآیند" sheetId="2" r:id="rId2"/>
    <sheet name="جریان مواد" sheetId="3" r:id="rId3"/>
    <sheet name="جریان محصول" sheetId="4" r:id="rId4"/>
    <sheet name="تحلیل شیمیایی" sheetId="5" r:id="rId5"/>
    <sheet name="مشتری " sheetId="6" r:id="rId6"/>
    <sheet name=".محموله order" sheetId="8" r:id="rId7"/>
    <sheet name="کارکنان " sheetId="11" r:id="rId8"/>
    <sheet name="موجودی انبار" sheetId="9" r:id="rId9"/>
    <sheet name="نگهداری تعمیرات " sheetId="12" r:id="rId10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'جریان مواد'!$E$13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9" i="1" l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</calcChain>
</file>

<file path=xl/sharedStrings.xml><?xml version="1.0" encoding="utf-8"?>
<sst xmlns="http://schemas.openxmlformats.org/spreadsheetml/2006/main" count="5022" uniqueCount="997">
  <si>
    <t>A</t>
  </si>
  <si>
    <t>B</t>
  </si>
  <si>
    <t>C</t>
  </si>
  <si>
    <t>مولیبدن</t>
  </si>
  <si>
    <t>آسیاب اولیه</t>
  </si>
  <si>
    <t>انبار درشت</t>
  </si>
  <si>
    <t>نوار ۲</t>
  </si>
  <si>
    <t>نوار ۹</t>
  </si>
  <si>
    <t>انبار نرمه</t>
  </si>
  <si>
    <t>نوار ۲۰</t>
  </si>
  <si>
    <t>فیلترپرس</t>
  </si>
  <si>
    <t>خشک‌کن نهایی</t>
  </si>
  <si>
    <t>باسکول نوار ۲۰</t>
  </si>
  <si>
    <t>خردایش</t>
  </si>
  <si>
    <t>ذخیره‌سازی</t>
  </si>
  <si>
    <t>انتقال مواد</t>
  </si>
  <si>
    <t>انتقال نهایی</t>
  </si>
  <si>
    <t>آب‌گیری</t>
  </si>
  <si>
    <t>آب‌گیری نهایی</t>
  </si>
  <si>
    <t>کنترل وزن</t>
  </si>
  <si>
    <t>آماده‌سازی</t>
  </si>
  <si>
    <t>انبار</t>
  </si>
  <si>
    <t>انتقال</t>
  </si>
  <si>
    <t>سنگ‌شکن</t>
  </si>
  <si>
    <t>خشک‌کن</t>
  </si>
  <si>
    <t>کنترل</t>
  </si>
  <si>
    <t>کنسانتره</t>
  </si>
  <si>
    <t>باطله</t>
  </si>
  <si>
    <t>خوراک</t>
  </si>
  <si>
    <t>برگشتی</t>
  </si>
  <si>
    <t>انبار برگشتی</t>
  </si>
  <si>
    <t>انبار نهایی</t>
  </si>
  <si>
    <t>شناسه موجودی انبار</t>
  </si>
  <si>
    <t>تاریخ گزارش</t>
  </si>
  <si>
    <t>نوع ماده</t>
  </si>
  <si>
    <t>موقعیت</t>
  </si>
  <si>
    <t>موجودی خشک (تن)</t>
  </si>
  <si>
    <t>شناسه گزارش شیفت</t>
  </si>
  <si>
    <t>شناسه واحد فرآیند</t>
  </si>
  <si>
    <t>شناسه محموله</t>
  </si>
  <si>
    <t>شناسه جریان محصول</t>
  </si>
  <si>
    <t>مقصد</t>
  </si>
  <si>
    <t>تعداد بشکه‌ها</t>
  </si>
  <si>
    <t>وزن خشک</t>
  </si>
  <si>
    <t>درصد مولیبدن</t>
  </si>
  <si>
    <t>درصد مس</t>
  </si>
  <si>
    <t>شناسه جریان مواد</t>
  </si>
  <si>
    <t>شناسه تحلیل شیمیایی</t>
  </si>
  <si>
    <t>نوع جریان</t>
  </si>
  <si>
    <t>وزن تر</t>
  </si>
  <si>
    <t>درصد رطوبت</t>
  </si>
  <si>
    <t>تناژ ورودی</t>
  </si>
  <si>
    <t>تناژ خروجی</t>
  </si>
  <si>
    <t>تناژ بازیافتی</t>
  </si>
  <si>
    <t>تناژ مردود</t>
  </si>
  <si>
    <t>نرخ تغذیه (تن در ساعت)</t>
  </si>
  <si>
    <t>نام واحد</t>
  </si>
  <si>
    <t>نوع واحد</t>
  </si>
  <si>
    <t>بخش</t>
  </si>
  <si>
    <t xml:space="preserve">معدن کاری </t>
  </si>
  <si>
    <t xml:space="preserve">کنترل کیفیت </t>
  </si>
  <si>
    <t xml:space="preserve">مدیریت محیط زیست </t>
  </si>
  <si>
    <t xml:space="preserve">ایمنی و رعایت مقررات </t>
  </si>
  <si>
    <t xml:space="preserve">فرآوری </t>
  </si>
  <si>
    <t xml:space="preserve">لیچینگ </t>
  </si>
  <si>
    <t xml:space="preserve">نمونه برداری </t>
  </si>
  <si>
    <t xml:space="preserve">آزمایشگاه </t>
  </si>
  <si>
    <t xml:space="preserve">مدیریت داده ها </t>
  </si>
  <si>
    <t xml:space="preserve">تاریخ گزارش </t>
  </si>
  <si>
    <t>1401/01/01</t>
  </si>
  <si>
    <t>1401/01/02</t>
  </si>
  <si>
    <t>1401/01/03</t>
  </si>
  <si>
    <t>1401/01/04</t>
  </si>
  <si>
    <t>1401/01/05</t>
  </si>
  <si>
    <t>1401/01/06</t>
  </si>
  <si>
    <t>1401/01/07</t>
  </si>
  <si>
    <t>1401/01/08</t>
  </si>
  <si>
    <t>1401/01/09</t>
  </si>
  <si>
    <t>1401/01/10</t>
  </si>
  <si>
    <t>1401/01/11</t>
  </si>
  <si>
    <t>1401/01/12</t>
  </si>
  <si>
    <t>1401/01/13</t>
  </si>
  <si>
    <t>1401/01/14</t>
  </si>
  <si>
    <t>1401/01/15</t>
  </si>
  <si>
    <t>1401/01/16</t>
  </si>
  <si>
    <t>1401/01/17</t>
  </si>
  <si>
    <t>1401/01/18</t>
  </si>
  <si>
    <t>1401/01/19</t>
  </si>
  <si>
    <t>1401/01/20</t>
  </si>
  <si>
    <t>1401/01/21</t>
  </si>
  <si>
    <t>1401/01/22</t>
  </si>
  <si>
    <t>1401/01/23</t>
  </si>
  <si>
    <t>1401/01/24</t>
  </si>
  <si>
    <t>1401/01/25</t>
  </si>
  <si>
    <t>1401/01/26</t>
  </si>
  <si>
    <t>1401/01/27</t>
  </si>
  <si>
    <t>1401/01/28</t>
  </si>
  <si>
    <t>1401/01/29</t>
  </si>
  <si>
    <t>1401/01/30</t>
  </si>
  <si>
    <t>1401/01/31</t>
  </si>
  <si>
    <t>1401/02/01</t>
  </si>
  <si>
    <t>1401/02/02</t>
  </si>
  <si>
    <t>1401/02/03</t>
  </si>
  <si>
    <t>1401/02/04</t>
  </si>
  <si>
    <t>1401/02/05</t>
  </si>
  <si>
    <t>1401/02/06</t>
  </si>
  <si>
    <t>1401/02/07</t>
  </si>
  <si>
    <t>1401/02/08</t>
  </si>
  <si>
    <t>1401/02/09</t>
  </si>
  <si>
    <t>1401/02/10</t>
  </si>
  <si>
    <t>1401/02/11</t>
  </si>
  <si>
    <t>1401/02/12</t>
  </si>
  <si>
    <t>1401/02/13</t>
  </si>
  <si>
    <t>1401/02/14</t>
  </si>
  <si>
    <t>1401/02/15</t>
  </si>
  <si>
    <t>1401/02/16</t>
  </si>
  <si>
    <t>1401/02/17</t>
  </si>
  <si>
    <t>1401/02/18</t>
  </si>
  <si>
    <t>1401/02/19</t>
  </si>
  <si>
    <t>1401/02/20</t>
  </si>
  <si>
    <t>1401/02/21</t>
  </si>
  <si>
    <t>1401/02/22</t>
  </si>
  <si>
    <t>1401/02/23</t>
  </si>
  <si>
    <t>1401/02/24</t>
  </si>
  <si>
    <t>1401/02/25</t>
  </si>
  <si>
    <t>1401/02/26</t>
  </si>
  <si>
    <t>1401/02/27</t>
  </si>
  <si>
    <t>1401/02/28</t>
  </si>
  <si>
    <t>1401/02/29</t>
  </si>
  <si>
    <t>1401/02/30</t>
  </si>
  <si>
    <t>1401/02/31</t>
  </si>
  <si>
    <t>1401/03/01</t>
  </si>
  <si>
    <t>1401/03/02</t>
  </si>
  <si>
    <t>1401/03/03</t>
  </si>
  <si>
    <t>1401/03/04</t>
  </si>
  <si>
    <t>1401/03/05</t>
  </si>
  <si>
    <t>1401/03/06</t>
  </si>
  <si>
    <t>1401/03/07</t>
  </si>
  <si>
    <t>1401/03/08</t>
  </si>
  <si>
    <t>1401/03/09</t>
  </si>
  <si>
    <t>1401/03/10</t>
  </si>
  <si>
    <t>1401/03/11</t>
  </si>
  <si>
    <t>1401/03/12</t>
  </si>
  <si>
    <t>1401/03/13</t>
  </si>
  <si>
    <t>1401/03/14</t>
  </si>
  <si>
    <t>1401/03/15</t>
  </si>
  <si>
    <t>1401/03/16</t>
  </si>
  <si>
    <t>1401/03/17</t>
  </si>
  <si>
    <t>1401/03/18</t>
  </si>
  <si>
    <t>1401/03/19</t>
  </si>
  <si>
    <t>1401/03/20</t>
  </si>
  <si>
    <t>1401/03/21</t>
  </si>
  <si>
    <t>1401/03/22</t>
  </si>
  <si>
    <t>1401/03/23</t>
  </si>
  <si>
    <t>1401/03/24</t>
  </si>
  <si>
    <t>1401/03/25</t>
  </si>
  <si>
    <t>1401/03/26</t>
  </si>
  <si>
    <t>1401/03/27</t>
  </si>
  <si>
    <t>1401/03/28</t>
  </si>
  <si>
    <t>1401/03/29</t>
  </si>
  <si>
    <t>1401/03/30</t>
  </si>
  <si>
    <t>1401/03/31</t>
  </si>
  <si>
    <t>1401/04/01</t>
  </si>
  <si>
    <t>1401/04/02</t>
  </si>
  <si>
    <t>1401/04/03</t>
  </si>
  <si>
    <t>1401/04/04</t>
  </si>
  <si>
    <t>1401/04/05</t>
  </si>
  <si>
    <t>1401/04/06</t>
  </si>
  <si>
    <t>1401/04/07</t>
  </si>
  <si>
    <t>1401/04/08</t>
  </si>
  <si>
    <t>1401/04/09</t>
  </si>
  <si>
    <t>1401/04/10</t>
  </si>
  <si>
    <t>1401/04/11</t>
  </si>
  <si>
    <t>1401/04/12</t>
  </si>
  <si>
    <t>1401/04/13</t>
  </si>
  <si>
    <t>1401/04/14</t>
  </si>
  <si>
    <t>1401/04/15</t>
  </si>
  <si>
    <t>1401/04/16</t>
  </si>
  <si>
    <t>1401/04/17</t>
  </si>
  <si>
    <t>1401/04/18</t>
  </si>
  <si>
    <t>1401/04/19</t>
  </si>
  <si>
    <t>1401/04/20</t>
  </si>
  <si>
    <t>1401/04/21</t>
  </si>
  <si>
    <t>1401/04/22</t>
  </si>
  <si>
    <t>1401/04/23</t>
  </si>
  <si>
    <t>1401/04/24</t>
  </si>
  <si>
    <t>1401/04/25</t>
  </si>
  <si>
    <t>1401/04/26</t>
  </si>
  <si>
    <t>1401/04/27</t>
  </si>
  <si>
    <t>1401/04/28</t>
  </si>
  <si>
    <t>1401/04/29</t>
  </si>
  <si>
    <t>1401/04/30</t>
  </si>
  <si>
    <t>1401/04/31</t>
  </si>
  <si>
    <t>1401/05/01</t>
  </si>
  <si>
    <t>1401/05/02</t>
  </si>
  <si>
    <t>1401/05/03</t>
  </si>
  <si>
    <t>1401/05/04</t>
  </si>
  <si>
    <t>1401/05/05</t>
  </si>
  <si>
    <t>1401/05/06</t>
  </si>
  <si>
    <t>1401/05/07</t>
  </si>
  <si>
    <t>1401/05/08</t>
  </si>
  <si>
    <t>1401/05/09</t>
  </si>
  <si>
    <t>1401/05/10</t>
  </si>
  <si>
    <t>1401/05/11</t>
  </si>
  <si>
    <t>1401/05/12</t>
  </si>
  <si>
    <t>1401/05/13</t>
  </si>
  <si>
    <t>1401/05/14</t>
  </si>
  <si>
    <t>1401/05/15</t>
  </si>
  <si>
    <t>1401/05/16</t>
  </si>
  <si>
    <t>1401/05/17</t>
  </si>
  <si>
    <t>1401/05/18</t>
  </si>
  <si>
    <t>1401/05/19</t>
  </si>
  <si>
    <t>1401/05/20</t>
  </si>
  <si>
    <t>1401/05/21</t>
  </si>
  <si>
    <t>1401/05/22</t>
  </si>
  <si>
    <t>1401/05/23</t>
  </si>
  <si>
    <t>1401/05/24</t>
  </si>
  <si>
    <t>1401/05/25</t>
  </si>
  <si>
    <t>1401/05/26</t>
  </si>
  <si>
    <t>1401/05/27</t>
  </si>
  <si>
    <t>1401/05/28</t>
  </si>
  <si>
    <t>1401/05/29</t>
  </si>
  <si>
    <t>1401/05/30</t>
  </si>
  <si>
    <t>1401/05/31</t>
  </si>
  <si>
    <t>1401/06/01</t>
  </si>
  <si>
    <t>1401/06/02</t>
  </si>
  <si>
    <t>1401/06/03</t>
  </si>
  <si>
    <t>1401/06/04</t>
  </si>
  <si>
    <t>1401/06/05</t>
  </si>
  <si>
    <t>1401/06/06</t>
  </si>
  <si>
    <t>1401/06/07</t>
  </si>
  <si>
    <t>1401/06/08</t>
  </si>
  <si>
    <t>1401/06/09</t>
  </si>
  <si>
    <t>1401/06/10</t>
  </si>
  <si>
    <t>1401/06/11</t>
  </si>
  <si>
    <t>1401/06/12</t>
  </si>
  <si>
    <t>1401/06/13</t>
  </si>
  <si>
    <t>1401/06/14</t>
  </si>
  <si>
    <t>1401/06/15</t>
  </si>
  <si>
    <t>1401/06/16</t>
  </si>
  <si>
    <t>1401/06/17</t>
  </si>
  <si>
    <t>1401/06/18</t>
  </si>
  <si>
    <t>1401/06/19</t>
  </si>
  <si>
    <t>1401/06/20</t>
  </si>
  <si>
    <t>1401/06/21</t>
  </si>
  <si>
    <t>1401/06/22</t>
  </si>
  <si>
    <t>1401/06/23</t>
  </si>
  <si>
    <t>1401/06/24</t>
  </si>
  <si>
    <t>1401/06/25</t>
  </si>
  <si>
    <t>1401/06/26</t>
  </si>
  <si>
    <t>1401/06/27</t>
  </si>
  <si>
    <t>1401/06/28</t>
  </si>
  <si>
    <t>1401/06/29</t>
  </si>
  <si>
    <t>1401/06/30</t>
  </si>
  <si>
    <t>1401/06/31</t>
  </si>
  <si>
    <t>1401/07/01</t>
  </si>
  <si>
    <t>1401/07/02</t>
  </si>
  <si>
    <t>1401/07/03</t>
  </si>
  <si>
    <t>1401/07/04</t>
  </si>
  <si>
    <t>1401/07/05</t>
  </si>
  <si>
    <t>1401/07/06</t>
  </si>
  <si>
    <t>1401/07/07</t>
  </si>
  <si>
    <t>1401/07/08</t>
  </si>
  <si>
    <t>1401/07/09</t>
  </si>
  <si>
    <t>1401/07/10</t>
  </si>
  <si>
    <t>1401/07/11</t>
  </si>
  <si>
    <t>1401/07/12</t>
  </si>
  <si>
    <t>1401/07/13</t>
  </si>
  <si>
    <t>1401/07/14</t>
  </si>
  <si>
    <t>1401/07/15</t>
  </si>
  <si>
    <t>1401/07/16</t>
  </si>
  <si>
    <t>1401/07/17</t>
  </si>
  <si>
    <t>1401/07/18</t>
  </si>
  <si>
    <t>1401/07/19</t>
  </si>
  <si>
    <t>1401/07/20</t>
  </si>
  <si>
    <t>1401/07/21</t>
  </si>
  <si>
    <t>1401/07/22</t>
  </si>
  <si>
    <t>1401/07/23</t>
  </si>
  <si>
    <t>1401/07/24</t>
  </si>
  <si>
    <t>1401/07/25</t>
  </si>
  <si>
    <t>1401/07/26</t>
  </si>
  <si>
    <t>1401/07/27</t>
  </si>
  <si>
    <t>1401/07/28</t>
  </si>
  <si>
    <t>1401/07/29</t>
  </si>
  <si>
    <t>1401/07/30</t>
  </si>
  <si>
    <t>1401/08/01</t>
  </si>
  <si>
    <t>1401/08/02</t>
  </si>
  <si>
    <t>1401/08/03</t>
  </si>
  <si>
    <t>1401/08/04</t>
  </si>
  <si>
    <t>1401/08/05</t>
  </si>
  <si>
    <t>1401/08/06</t>
  </si>
  <si>
    <t>1401/08/07</t>
  </si>
  <si>
    <t>1401/08/08</t>
  </si>
  <si>
    <t>1401/08/09</t>
  </si>
  <si>
    <t>1401/08/10</t>
  </si>
  <si>
    <t>1401/08/11</t>
  </si>
  <si>
    <t>1401/08/12</t>
  </si>
  <si>
    <t>1401/08/13</t>
  </si>
  <si>
    <t>1401/08/14</t>
  </si>
  <si>
    <t>1401/08/15</t>
  </si>
  <si>
    <t>1401/08/16</t>
  </si>
  <si>
    <t>1401/08/17</t>
  </si>
  <si>
    <t>1401/08/18</t>
  </si>
  <si>
    <t>1401/08/19</t>
  </si>
  <si>
    <t>1401/08/20</t>
  </si>
  <si>
    <t>1401/08/21</t>
  </si>
  <si>
    <t>1401/08/22</t>
  </si>
  <si>
    <t>1401/08/23</t>
  </si>
  <si>
    <t>1401/08/24</t>
  </si>
  <si>
    <t>1401/08/25</t>
  </si>
  <si>
    <t>1401/08/26</t>
  </si>
  <si>
    <t>1401/08/27</t>
  </si>
  <si>
    <t>1401/08/28</t>
  </si>
  <si>
    <t>1401/08/29</t>
  </si>
  <si>
    <t>1401/08/30</t>
  </si>
  <si>
    <t>1401/09/01</t>
  </si>
  <si>
    <t>1401/09/02</t>
  </si>
  <si>
    <t>1401/09/03</t>
  </si>
  <si>
    <t>1401/09/04</t>
  </si>
  <si>
    <t>1401/09/05</t>
  </si>
  <si>
    <t>1401/09/06</t>
  </si>
  <si>
    <t>1401/09/07</t>
  </si>
  <si>
    <t>1401/09/08</t>
  </si>
  <si>
    <t>1401/09/09</t>
  </si>
  <si>
    <t>1401/09/10</t>
  </si>
  <si>
    <t>1401/09/11</t>
  </si>
  <si>
    <t>1401/09/12</t>
  </si>
  <si>
    <t>1401/09/13</t>
  </si>
  <si>
    <t>1401/09/14</t>
  </si>
  <si>
    <t>1401/09/15</t>
  </si>
  <si>
    <t>1401/09/16</t>
  </si>
  <si>
    <t>1401/09/17</t>
  </si>
  <si>
    <t>1401/09/18</t>
  </si>
  <si>
    <t>1401/09/19</t>
  </si>
  <si>
    <t>1401/09/20</t>
  </si>
  <si>
    <t>1401/09/21</t>
  </si>
  <si>
    <t>1401/09/22</t>
  </si>
  <si>
    <t>1401/09/23</t>
  </si>
  <si>
    <t>1401/09/24</t>
  </si>
  <si>
    <t>1401/09/25</t>
  </si>
  <si>
    <t>1401/09/26</t>
  </si>
  <si>
    <t>1401/09/27</t>
  </si>
  <si>
    <t>1401/09/28</t>
  </si>
  <si>
    <t>1401/09/29</t>
  </si>
  <si>
    <t>1401/09/30</t>
  </si>
  <si>
    <t>1401/10/01</t>
  </si>
  <si>
    <t>1401/10/02</t>
  </si>
  <si>
    <t>1401/10/03</t>
  </si>
  <si>
    <t>1401/10/04</t>
  </si>
  <si>
    <t>1401/10/05</t>
  </si>
  <si>
    <t>1401/10/06</t>
  </si>
  <si>
    <t>1401/10/07</t>
  </si>
  <si>
    <t>1401/10/08</t>
  </si>
  <si>
    <t>1401/10/09</t>
  </si>
  <si>
    <t>1401/10/10</t>
  </si>
  <si>
    <t>1401/10/11</t>
  </si>
  <si>
    <t>1401/10/12</t>
  </si>
  <si>
    <t>1401/10/13</t>
  </si>
  <si>
    <t>1401/10/14</t>
  </si>
  <si>
    <t>1401/10/15</t>
  </si>
  <si>
    <t>1401/10/16</t>
  </si>
  <si>
    <t>1401/10/17</t>
  </si>
  <si>
    <t>1401/10/18</t>
  </si>
  <si>
    <t>1401/10/19</t>
  </si>
  <si>
    <t>1401/10/20</t>
  </si>
  <si>
    <t>1401/10/21</t>
  </si>
  <si>
    <t>1401/10/22</t>
  </si>
  <si>
    <t>1401/10/23</t>
  </si>
  <si>
    <t>1401/10/24</t>
  </si>
  <si>
    <t>1401/10/25</t>
  </si>
  <si>
    <t>1401/10/26</t>
  </si>
  <si>
    <t>1401/10/27</t>
  </si>
  <si>
    <t>1401/10/28</t>
  </si>
  <si>
    <t>1401/10/29</t>
  </si>
  <si>
    <t>1401/10/30</t>
  </si>
  <si>
    <t>1401/11/01</t>
  </si>
  <si>
    <t>1401/11/02</t>
  </si>
  <si>
    <t>1401/11/03</t>
  </si>
  <si>
    <t>1401/11/04</t>
  </si>
  <si>
    <t>1401/11/05</t>
  </si>
  <si>
    <t>1401/11/06</t>
  </si>
  <si>
    <t>1401/11/07</t>
  </si>
  <si>
    <t>1401/11/08</t>
  </si>
  <si>
    <t>1401/11/09</t>
  </si>
  <si>
    <t>1401/11/10</t>
  </si>
  <si>
    <t>1401/11/11</t>
  </si>
  <si>
    <t>1401/11/12</t>
  </si>
  <si>
    <t>1401/11/13</t>
  </si>
  <si>
    <t>1401/11/14</t>
  </si>
  <si>
    <t>1401/11/15</t>
  </si>
  <si>
    <t>1401/11/16</t>
  </si>
  <si>
    <t>1401/11/17</t>
  </si>
  <si>
    <t>1401/11/18</t>
  </si>
  <si>
    <t>1401/11/19</t>
  </si>
  <si>
    <t>1401/11/20</t>
  </si>
  <si>
    <t>1401/11/21</t>
  </si>
  <si>
    <t>1401/11/22</t>
  </si>
  <si>
    <t>1401/11/23</t>
  </si>
  <si>
    <t>1401/11/24</t>
  </si>
  <si>
    <t>1401/11/25</t>
  </si>
  <si>
    <t>1401/11/26</t>
  </si>
  <si>
    <t>1401/11/27</t>
  </si>
  <si>
    <t>1401/11/28</t>
  </si>
  <si>
    <t>1401/11/29</t>
  </si>
  <si>
    <t>1401/11/30</t>
  </si>
  <si>
    <t>1401/12/01</t>
  </si>
  <si>
    <t>1401/12/02</t>
  </si>
  <si>
    <t>1401/12/03</t>
  </si>
  <si>
    <t>1401/12/04</t>
  </si>
  <si>
    <t>1401/12/05</t>
  </si>
  <si>
    <t>1401/12/06</t>
  </si>
  <si>
    <t>1401/12/07</t>
  </si>
  <si>
    <t>1401/12/08</t>
  </si>
  <si>
    <t>1401/12/09</t>
  </si>
  <si>
    <t>1401/12/10</t>
  </si>
  <si>
    <t>1401/12/11</t>
  </si>
  <si>
    <t>1401/12/12</t>
  </si>
  <si>
    <t>1401/12/13</t>
  </si>
  <si>
    <t>1401/12/14</t>
  </si>
  <si>
    <t>1401/12/15</t>
  </si>
  <si>
    <t>1401/12/16</t>
  </si>
  <si>
    <t>1401/12/17</t>
  </si>
  <si>
    <t>1401/12/18</t>
  </si>
  <si>
    <t>1401/12/19</t>
  </si>
  <si>
    <t>1401/12/20</t>
  </si>
  <si>
    <t>1401/12/21</t>
  </si>
  <si>
    <t>1401/12/22</t>
  </si>
  <si>
    <t xml:space="preserve">حفاری و انفجار </t>
  </si>
  <si>
    <t xml:space="preserve">آماده سازی انتقال </t>
  </si>
  <si>
    <t xml:space="preserve">بازرسی </t>
  </si>
  <si>
    <t xml:space="preserve">بازرسی سنگ های خردشده </t>
  </si>
  <si>
    <t xml:space="preserve">جداسازی و فیلترینگ </t>
  </si>
  <si>
    <t xml:space="preserve">جداسازی سنگ </t>
  </si>
  <si>
    <t xml:space="preserve">کنترل </t>
  </si>
  <si>
    <t xml:space="preserve">کنترل گرد و غبار </t>
  </si>
  <si>
    <t xml:space="preserve">مدیریت </t>
  </si>
  <si>
    <t xml:space="preserve">مدیریت ضایعات </t>
  </si>
  <si>
    <t xml:space="preserve">بررسی </t>
  </si>
  <si>
    <t xml:space="preserve">تطابق موارد ایمنی با چک لیست </t>
  </si>
  <si>
    <t xml:space="preserve">تعداد پرسنل </t>
  </si>
  <si>
    <t xml:space="preserve">گزارش های رد شده </t>
  </si>
  <si>
    <t xml:space="preserve">گزارش های تایید شده </t>
  </si>
  <si>
    <t xml:space="preserve"> گزارش های دریافتی</t>
  </si>
  <si>
    <t xml:space="preserve">نوع شیفت </t>
  </si>
  <si>
    <t xml:space="preserve">ساعت شروع </t>
  </si>
  <si>
    <t>صبح</t>
  </si>
  <si>
    <t>شب</t>
  </si>
  <si>
    <t>کد پرسنلی</t>
  </si>
  <si>
    <t>نام</t>
  </si>
  <si>
    <t>نام خانوادگی</t>
  </si>
  <si>
    <t>بخش کاری</t>
  </si>
  <si>
    <t>سمت</t>
  </si>
  <si>
    <t xml:space="preserve">تاریخ استخدام </t>
  </si>
  <si>
    <t>شماره تماس</t>
  </si>
  <si>
    <t xml:space="preserve">شیفت </t>
  </si>
  <si>
    <t xml:space="preserve">تعمیر و نگهداری </t>
  </si>
  <si>
    <t xml:space="preserve">تحلیل و گزارش نویسی </t>
  </si>
  <si>
    <t xml:space="preserve">تولید داده و وارد کردن به سیستم </t>
  </si>
  <si>
    <t xml:space="preserve">آماده کردن نمونه برای آزمایشگاه </t>
  </si>
  <si>
    <t xml:space="preserve">برداشتن نمونه با روش های مرسوم </t>
  </si>
  <si>
    <t xml:space="preserve">آزمایش </t>
  </si>
  <si>
    <t xml:space="preserve">مدیریت شیمیایی </t>
  </si>
  <si>
    <t xml:space="preserve">فرایند لیچینگ </t>
  </si>
  <si>
    <t xml:space="preserve">مخلوط کردن با اسید </t>
  </si>
  <si>
    <t xml:space="preserve">آماده سازی اسید </t>
  </si>
  <si>
    <t xml:space="preserve">آزمایش و ثبت داده ها </t>
  </si>
  <si>
    <t>آماده کردن و نظارت بر PH</t>
  </si>
  <si>
    <t>انجام تعمیرات و ثبت داده</t>
  </si>
  <si>
    <t>سرند کردن</t>
  </si>
  <si>
    <t xml:space="preserve">تغذیه سنگ های خرد شده </t>
  </si>
  <si>
    <t xml:space="preserve">مدیر واحد </t>
  </si>
  <si>
    <t xml:space="preserve">زمان عملیاتی </t>
  </si>
  <si>
    <t xml:space="preserve">علی </t>
  </si>
  <si>
    <t xml:space="preserve">زهرا </t>
  </si>
  <si>
    <t xml:space="preserve">حسین </t>
  </si>
  <si>
    <t xml:space="preserve">علیرضا </t>
  </si>
  <si>
    <t xml:space="preserve">غلامرضا </t>
  </si>
  <si>
    <t xml:space="preserve">حسن </t>
  </si>
  <si>
    <t xml:space="preserve">امیر </t>
  </si>
  <si>
    <t xml:space="preserve">امیر حسین </t>
  </si>
  <si>
    <t xml:space="preserve">فاطمه </t>
  </si>
  <si>
    <t xml:space="preserve">رها </t>
  </si>
  <si>
    <t xml:space="preserve">سینا </t>
  </si>
  <si>
    <t xml:space="preserve">رضایی </t>
  </si>
  <si>
    <t xml:space="preserve">احمدی </t>
  </si>
  <si>
    <t>کریمی</t>
  </si>
  <si>
    <t xml:space="preserve">زارع </t>
  </si>
  <si>
    <t xml:space="preserve">شناسه مشتری </t>
  </si>
  <si>
    <t xml:space="preserve">اسم مشتری </t>
  </si>
  <si>
    <t xml:space="preserve">مدیر خرید شرکت </t>
  </si>
  <si>
    <t xml:space="preserve">شماره تماس مدیر خرید </t>
  </si>
  <si>
    <t xml:space="preserve">آدرس </t>
  </si>
  <si>
    <t xml:space="preserve">شرایط اعتباری </t>
  </si>
  <si>
    <t>0901***</t>
  </si>
  <si>
    <t>0912***</t>
  </si>
  <si>
    <t>0913***</t>
  </si>
  <si>
    <t>0922***</t>
  </si>
  <si>
    <t xml:space="preserve">داوودی </t>
  </si>
  <si>
    <t xml:space="preserve">بهرامی </t>
  </si>
  <si>
    <t>مولایی</t>
  </si>
  <si>
    <t xml:space="preserve">حسین زاده </t>
  </si>
  <si>
    <t xml:space="preserve">رنجبر </t>
  </si>
  <si>
    <t>محمودی</t>
  </si>
  <si>
    <t xml:space="preserve">گراوند </t>
  </si>
  <si>
    <t>1400/01/07</t>
  </si>
  <si>
    <t xml:space="preserve">تاریخ </t>
  </si>
  <si>
    <t xml:space="preserve">بودجه  (میلیون) </t>
  </si>
  <si>
    <t xml:space="preserve">افق البرز </t>
  </si>
  <si>
    <t xml:space="preserve">ایران خودرو </t>
  </si>
  <si>
    <t>سایپا</t>
  </si>
  <si>
    <t xml:space="preserve">اسنوا </t>
  </si>
  <si>
    <t xml:space="preserve">پارس خزر </t>
  </si>
  <si>
    <t xml:space="preserve">گروه بهمن </t>
  </si>
  <si>
    <t xml:space="preserve">زامیاد </t>
  </si>
  <si>
    <t xml:space="preserve">شرکت کروز </t>
  </si>
  <si>
    <t>مهرکام پارس</t>
  </si>
  <si>
    <t>عظام</t>
  </si>
  <si>
    <t>ایساکو</t>
  </si>
  <si>
    <t>مادیران</t>
  </si>
  <si>
    <t>گرین لایت</t>
  </si>
  <si>
    <t>تکنوگاز</t>
  </si>
  <si>
    <t>کابل کرمان</t>
  </si>
  <si>
    <t>0919***</t>
  </si>
  <si>
    <t>0937***</t>
  </si>
  <si>
    <t>0910***</t>
  </si>
  <si>
    <t>ال جی ایران (گلدیران)</t>
  </si>
  <si>
    <t>دوو الکترونیک ایران</t>
  </si>
  <si>
    <t>فولاد آلیاژی ایران</t>
  </si>
  <si>
    <t>زرین فلز</t>
  </si>
  <si>
    <t>سازمان صنایع هوافضا</t>
  </si>
  <si>
    <t>مپنا (گروه مپنا)</t>
  </si>
  <si>
    <t>صنایع برق زنجان</t>
  </si>
  <si>
    <t>قزوین، شهرک صنعتی لیا، بلوار بهشتی، خیابان هنر، خیابان ارزش</t>
  </si>
  <si>
    <t>تهران، کیلومتر 14 جاده مخصوص کرج (بزرگراه شهید لشگری)</t>
  </si>
  <si>
    <t>تهران، کیلومتر 15 بزرگراه شهید لشگری (جاده مخصوص کرج)</t>
  </si>
  <si>
    <t>اصفهان، شاهین‌شهر، شهرک صنعتی مورچه خورت، خیابان ابوریحان چهارم</t>
  </si>
  <si>
    <t>دفتر مرکزی: تهران، خیابان سپهبد قرنی، پلاک 43</t>
  </si>
  <si>
    <t>تهران، خیابان شریعتی، قبل از پل همت، سه‌راه ضرابخانه، بین سروستان اول و دوم، پلاک 25</t>
  </si>
  <si>
    <t>تهران، چیتگر جنوبی، کنارگذر فتح</t>
  </si>
  <si>
    <t>تهران، میدان آرژانتین، خیابان احمد قیصر، خیابان شانزدهم، پلاک 1</t>
  </si>
  <si>
    <t>تهران، کیلومتر 21 بزرگراه لشگری، پلاک 4/653</t>
  </si>
  <si>
    <t>تهران، کیلومتر 11 جاده مخصوص کرج</t>
  </si>
  <si>
    <t>تهران، کیلومتر 13 جاده مخصوص کرج، خیابان نخ زرین، سایت 2</t>
  </si>
  <si>
    <t>شهرک صنعتی هشتگرد، میدان مادیران، خیابان کارآفرینان</t>
  </si>
  <si>
    <t>فارس، لار، شهر جدید، جنب بازار امام خمینی، نبش 20 متری شرکت نفت</t>
  </si>
  <si>
    <t>شمال تهران: 22672159، غرب تهران: 44417018، شرق تهران: 77388921</t>
  </si>
  <si>
    <t>تهران، خیابان خدامی، نبش خیابان آفتاب، پلاک 3</t>
  </si>
  <si>
    <t xml:space="preserve">عالی </t>
  </si>
  <si>
    <t>خوب</t>
  </si>
  <si>
    <t>متوسط</t>
  </si>
  <si>
    <t xml:space="preserve">توناژ </t>
  </si>
  <si>
    <t xml:space="preserve">درصد خلوص </t>
  </si>
  <si>
    <t>%Cu</t>
  </si>
  <si>
    <t>%Fe</t>
  </si>
  <si>
    <t>%CuO</t>
  </si>
  <si>
    <t>ناخالصی %</t>
  </si>
  <si>
    <t>درصد طلا</t>
  </si>
  <si>
    <t>روش آزمایش</t>
  </si>
  <si>
    <t>وضعیت آزمایش</t>
  </si>
  <si>
    <t>ازمایشگاه</t>
  </si>
  <si>
    <t xml:space="preserve">شناسه گزارش شیفت </t>
  </si>
  <si>
    <t>کرمان،بلوار افرا،خ. سنبل</t>
  </si>
  <si>
    <t>اصفهان، شهرک صنعتی مورچه خورت ، خیابان رازی ، طبقه همکف</t>
  </si>
  <si>
    <t>کنارگذر یزد کرمان،نرسیده به پایانه باربری،کیلومتر24 جاده فولاد</t>
  </si>
  <si>
    <t>خیابان افرا، پلاک 14،، احمد آباد مستوفی، · 021 5671 4422</t>
  </si>
  <si>
    <t>تجریش، تهران، میدان نوبنیاد، تهران، ایران، خیابان پاسداران، ساختمان ستاد مرکزی صنایع هوافضا</t>
  </si>
  <si>
    <t>تهران، بلوارمیرداماد، نبش خیابان کجور، شماره 231</t>
  </si>
  <si>
    <t>خیابان شهدا، نبش کوچه زینبیه، پلاک ۱۴۹ زنجان</t>
  </si>
  <si>
    <t xml:space="preserve"> فرجودی</t>
  </si>
  <si>
    <t>بهنام سارنگ</t>
  </si>
  <si>
    <t xml:space="preserve">آقا معلمی </t>
  </si>
  <si>
    <t xml:space="preserve"> زیبائی</t>
  </si>
  <si>
    <t>صابر</t>
  </si>
  <si>
    <t>باقری اقدم</t>
  </si>
  <si>
    <t>بحری</t>
  </si>
  <si>
    <t>حدادی طالخونچه</t>
  </si>
  <si>
    <t>حسینی</t>
  </si>
  <si>
    <t>دلاورمهویزانی</t>
  </si>
  <si>
    <t>قادری</t>
  </si>
  <si>
    <t>فرجی</t>
  </si>
  <si>
    <t>طباطبائی قمشه</t>
  </si>
  <si>
    <t>احمدی چناربن</t>
  </si>
  <si>
    <t>اسماعیلی</t>
  </si>
  <si>
    <t>امیری نائینی</t>
  </si>
  <si>
    <t>امینی</t>
  </si>
  <si>
    <t>پایدار</t>
  </si>
  <si>
    <t>جهانگرد</t>
  </si>
  <si>
    <t>جوهری رودی</t>
  </si>
  <si>
    <t>خاکی</t>
  </si>
  <si>
    <t>رمضانی اصل</t>
  </si>
  <si>
    <t>روشنائی فاروجی</t>
  </si>
  <si>
    <t>حسین</t>
  </si>
  <si>
    <t>سعید</t>
  </si>
  <si>
    <t>زارعی</t>
  </si>
  <si>
    <t>کسری</t>
  </si>
  <si>
    <t>سلیمانی</t>
  </si>
  <si>
    <t>ابوالفضل</t>
  </si>
  <si>
    <t>قاسمی</t>
  </si>
  <si>
    <t>محمدمهدی</t>
  </si>
  <si>
    <t>یارمحمدتوسکی</t>
  </si>
  <si>
    <t>علیرضا</t>
  </si>
  <si>
    <t>اریان</t>
  </si>
  <si>
    <t>یوسفی</t>
  </si>
  <si>
    <t>سپنتا</t>
  </si>
  <si>
    <t>امیری</t>
  </si>
  <si>
    <t>امیرمحمد</t>
  </si>
  <si>
    <t>مقصودی</t>
  </si>
  <si>
    <t>محمدرضا</t>
  </si>
  <si>
    <t>مهدی</t>
  </si>
  <si>
    <t>پاسبان</t>
  </si>
  <si>
    <t>فربد</t>
  </si>
  <si>
    <t>حسن زاده</t>
  </si>
  <si>
    <t>بهزاد</t>
  </si>
  <si>
    <t>رمضانی</t>
  </si>
  <si>
    <t>0902***</t>
  </si>
  <si>
    <t xml:space="preserve">کیانا </t>
  </si>
  <si>
    <t xml:space="preserve">اصیل غره باغ </t>
  </si>
  <si>
    <t>حمیدرضا</t>
  </si>
  <si>
    <t>کمال زاده</t>
  </si>
  <si>
    <t>علی</t>
  </si>
  <si>
    <t>امیرحسن</t>
  </si>
  <si>
    <t>ستار</t>
  </si>
  <si>
    <t>صالح ابادی</t>
  </si>
  <si>
    <t>میرحسینی</t>
  </si>
  <si>
    <t>گلمحمدی</t>
  </si>
  <si>
    <t>1400/02/08</t>
  </si>
  <si>
    <t>1400/02/09</t>
  </si>
  <si>
    <t>1400/02/10</t>
  </si>
  <si>
    <t>1400/02/11</t>
  </si>
  <si>
    <t>0901**</t>
  </si>
  <si>
    <t>0905***</t>
  </si>
  <si>
    <t>0936***</t>
  </si>
  <si>
    <t xml:space="preserve">مدیریت / کنترل </t>
  </si>
  <si>
    <t xml:space="preserve">اپراتور </t>
  </si>
  <si>
    <t>1400/02/12</t>
  </si>
  <si>
    <t>علی رضا</t>
  </si>
  <si>
    <t>تاج فر</t>
  </si>
  <si>
    <t>مرادخانی</t>
  </si>
  <si>
    <t>امیراعلم</t>
  </si>
  <si>
    <t>احمدی</t>
  </si>
  <si>
    <t>پارسا</t>
  </si>
  <si>
    <t>باقرنژادابیانه</t>
  </si>
  <si>
    <t>سارا</t>
  </si>
  <si>
    <t>پناهی اشتلق</t>
  </si>
  <si>
    <t>نجمه</t>
  </si>
  <si>
    <t>حیدری</t>
  </si>
  <si>
    <t xml:space="preserve">ورودی </t>
  </si>
  <si>
    <t xml:space="preserve">میانی </t>
  </si>
  <si>
    <t>خروجی</t>
  </si>
  <si>
    <t>1401/1/1</t>
  </si>
  <si>
    <t>1401/1/2</t>
  </si>
  <si>
    <t>1401/1/3</t>
  </si>
  <si>
    <t>1401/1/4</t>
  </si>
  <si>
    <t>1401/1/5</t>
  </si>
  <si>
    <t>1401/1/6</t>
  </si>
  <si>
    <t>1401/1/7</t>
  </si>
  <si>
    <t>1401/1/8</t>
  </si>
  <si>
    <t>1401/1/9</t>
  </si>
  <si>
    <t>1401/1/10</t>
  </si>
  <si>
    <t>1401/1/11</t>
  </si>
  <si>
    <t>1401/1/12</t>
  </si>
  <si>
    <t>1401/1/13</t>
  </si>
  <si>
    <t>1401/1/14</t>
  </si>
  <si>
    <t>1401/1/15</t>
  </si>
  <si>
    <t>1401/1/16</t>
  </si>
  <si>
    <t>1401/1/17</t>
  </si>
  <si>
    <t>1401/1/18</t>
  </si>
  <si>
    <t>1401/1/19</t>
  </si>
  <si>
    <t>1401/1/20</t>
  </si>
  <si>
    <t>1401/1/21</t>
  </si>
  <si>
    <t>1401/1/22</t>
  </si>
  <si>
    <t>1401/1/23</t>
  </si>
  <si>
    <t>1401/1/24</t>
  </si>
  <si>
    <t>1401/1/25</t>
  </si>
  <si>
    <t>1401/1/26</t>
  </si>
  <si>
    <t>1401/1/27</t>
  </si>
  <si>
    <t>1401/1/28</t>
  </si>
  <si>
    <t>1401/1/29</t>
  </si>
  <si>
    <t>1401/1/30</t>
  </si>
  <si>
    <t>1401/1/31</t>
  </si>
  <si>
    <t>1401/2/1</t>
  </si>
  <si>
    <t>1401/2/2</t>
  </si>
  <si>
    <t>1401/2/3</t>
  </si>
  <si>
    <t>1401/2/4</t>
  </si>
  <si>
    <t>1401/2/5</t>
  </si>
  <si>
    <t>1401/2/6</t>
  </si>
  <si>
    <t>1401/2/7</t>
  </si>
  <si>
    <t>1401/2/8</t>
  </si>
  <si>
    <t>1401/2/9</t>
  </si>
  <si>
    <t>1401/2/10</t>
  </si>
  <si>
    <t>1401/2/11</t>
  </si>
  <si>
    <t>1401/2/12</t>
  </si>
  <si>
    <t>1401/2/13</t>
  </si>
  <si>
    <t>1401/2/14</t>
  </si>
  <si>
    <t>1401/2/15</t>
  </si>
  <si>
    <t>1401/2/16</t>
  </si>
  <si>
    <t>1401/2/17</t>
  </si>
  <si>
    <t>1401/2/18</t>
  </si>
  <si>
    <t>1401/2/19</t>
  </si>
  <si>
    <t>1401/2/20</t>
  </si>
  <si>
    <t>1401/2/21</t>
  </si>
  <si>
    <t>1401/2/22</t>
  </si>
  <si>
    <t>1401/2/23</t>
  </si>
  <si>
    <t>1401/2/24</t>
  </si>
  <si>
    <t>1401/2/25</t>
  </si>
  <si>
    <t>1401/2/26</t>
  </si>
  <si>
    <t>1401/2/27</t>
  </si>
  <si>
    <t>1401/2/28</t>
  </si>
  <si>
    <t>1401/2/29</t>
  </si>
  <si>
    <t>1401/2/30</t>
  </si>
  <si>
    <t>1401/2/31</t>
  </si>
  <si>
    <t>1401/3/1</t>
  </si>
  <si>
    <t>1401/3/2</t>
  </si>
  <si>
    <t>1401/3/3</t>
  </si>
  <si>
    <t>1401/3/4</t>
  </si>
  <si>
    <t>1401/3/5</t>
  </si>
  <si>
    <t>1401/3/6</t>
  </si>
  <si>
    <t>1401/3/7</t>
  </si>
  <si>
    <t>1401/3/8</t>
  </si>
  <si>
    <t>1401/3/9</t>
  </si>
  <si>
    <t>1401/3/10</t>
  </si>
  <si>
    <t>1401/3/11</t>
  </si>
  <si>
    <t>1401/3/12</t>
  </si>
  <si>
    <t>1401/3/13</t>
  </si>
  <si>
    <t>1401/3/14</t>
  </si>
  <si>
    <t>1401/3/15</t>
  </si>
  <si>
    <t>1401/3/16</t>
  </si>
  <si>
    <t>1401/3/17</t>
  </si>
  <si>
    <t>1401/3/18</t>
  </si>
  <si>
    <t>1401/3/19</t>
  </si>
  <si>
    <t>1401/3/20</t>
  </si>
  <si>
    <t>1401/3/21</t>
  </si>
  <si>
    <t>1401/3/22</t>
  </si>
  <si>
    <t>1401/3/23</t>
  </si>
  <si>
    <t>1401/3/24</t>
  </si>
  <si>
    <t>1401/3/25</t>
  </si>
  <si>
    <t>1401/3/26</t>
  </si>
  <si>
    <t>1401/3/27</t>
  </si>
  <si>
    <t>1401/3/28</t>
  </si>
  <si>
    <t>1401/3/29</t>
  </si>
  <si>
    <t>1401/3/30</t>
  </si>
  <si>
    <t>1401/3/31</t>
  </si>
  <si>
    <t>1401/4/1</t>
  </si>
  <si>
    <t>1401/4/2</t>
  </si>
  <si>
    <t>1401/4/3</t>
  </si>
  <si>
    <t>1401/4/4</t>
  </si>
  <si>
    <t>1401/4/5</t>
  </si>
  <si>
    <t>1401/4/6</t>
  </si>
  <si>
    <t>1401/4/7</t>
  </si>
  <si>
    <t>1401/4/8</t>
  </si>
  <si>
    <t>1401/4/9</t>
  </si>
  <si>
    <t>1401/4/10</t>
  </si>
  <si>
    <t>1401/4/11</t>
  </si>
  <si>
    <t>1401/4/12</t>
  </si>
  <si>
    <t>1401/4/13</t>
  </si>
  <si>
    <t>1401/4/14</t>
  </si>
  <si>
    <t>1401/4/15</t>
  </si>
  <si>
    <t>1401/4/16</t>
  </si>
  <si>
    <t>1401/4/17</t>
  </si>
  <si>
    <t>1401/4/18</t>
  </si>
  <si>
    <t>1401/4/19</t>
  </si>
  <si>
    <t>1401/4/20</t>
  </si>
  <si>
    <t>1401/4/21</t>
  </si>
  <si>
    <t>1401/4/22</t>
  </si>
  <si>
    <t>1401/4/23</t>
  </si>
  <si>
    <t>1401/4/24</t>
  </si>
  <si>
    <t>1401/4/25</t>
  </si>
  <si>
    <t>1401/4/26</t>
  </si>
  <si>
    <t>1401/4/27</t>
  </si>
  <si>
    <t>1401/4/28</t>
  </si>
  <si>
    <t>1401/4/29</t>
  </si>
  <si>
    <t>1401/4/30</t>
  </si>
  <si>
    <t>1401/4/31</t>
  </si>
  <si>
    <t>1401/5/1</t>
  </si>
  <si>
    <t>1401/5/2</t>
  </si>
  <si>
    <t>1401/5/3</t>
  </si>
  <si>
    <t>1401/5/4</t>
  </si>
  <si>
    <t>1401/5/5</t>
  </si>
  <si>
    <t>1401/5/6</t>
  </si>
  <si>
    <t>1401/5/7</t>
  </si>
  <si>
    <t>1401/5/8</t>
  </si>
  <si>
    <t>1401/5/9</t>
  </si>
  <si>
    <t>1401/5/10</t>
  </si>
  <si>
    <t>1401/5/11</t>
  </si>
  <si>
    <t>1401/5/12</t>
  </si>
  <si>
    <t>1401/5/13</t>
  </si>
  <si>
    <t>1401/5/14</t>
  </si>
  <si>
    <t>1401/5/15</t>
  </si>
  <si>
    <t>1401/5/16</t>
  </si>
  <si>
    <t>1401/5/17</t>
  </si>
  <si>
    <t>1401/5/18</t>
  </si>
  <si>
    <t>1401/5/19</t>
  </si>
  <si>
    <t>1401/5/20</t>
  </si>
  <si>
    <t>1401/5/21</t>
  </si>
  <si>
    <t>1401/5/22</t>
  </si>
  <si>
    <t>1401/5/23</t>
  </si>
  <si>
    <t>1401/5/24</t>
  </si>
  <si>
    <t>1401/5/25</t>
  </si>
  <si>
    <t>1401/5/26</t>
  </si>
  <si>
    <t>1401/5/27</t>
  </si>
  <si>
    <t>1401/5/28</t>
  </si>
  <si>
    <t>1401/5/29</t>
  </si>
  <si>
    <t>1401/5/30</t>
  </si>
  <si>
    <t>1401/5/31</t>
  </si>
  <si>
    <t>1401/6/1</t>
  </si>
  <si>
    <t>1401/6/2</t>
  </si>
  <si>
    <t>1401/6/3</t>
  </si>
  <si>
    <t>1401/6/4</t>
  </si>
  <si>
    <t>1401/6/5</t>
  </si>
  <si>
    <t>1401/6/6</t>
  </si>
  <si>
    <t>1401/6/7</t>
  </si>
  <si>
    <t>1401/6/8</t>
  </si>
  <si>
    <t>1401/6/9</t>
  </si>
  <si>
    <t>1401/6/10</t>
  </si>
  <si>
    <t>1401/6/11</t>
  </si>
  <si>
    <t>1401/6/12</t>
  </si>
  <si>
    <t>1401/6/13</t>
  </si>
  <si>
    <t>1401/6/14</t>
  </si>
  <si>
    <t>1401/6/15</t>
  </si>
  <si>
    <t>1401/6/16</t>
  </si>
  <si>
    <t>1401/6/17</t>
  </si>
  <si>
    <t>1401/6/18</t>
  </si>
  <si>
    <t>1401/6/19</t>
  </si>
  <si>
    <t>1401/6/20</t>
  </si>
  <si>
    <t>1401/6/21</t>
  </si>
  <si>
    <t>1401/6/22</t>
  </si>
  <si>
    <t>1401/6/23</t>
  </si>
  <si>
    <t>1401/6/24</t>
  </si>
  <si>
    <t>1401/6/25</t>
  </si>
  <si>
    <t>1401/6/26</t>
  </si>
  <si>
    <t>1401/6/27</t>
  </si>
  <si>
    <t>1401/6/28</t>
  </si>
  <si>
    <t>1401/6/29</t>
  </si>
  <si>
    <t>1401/6/30</t>
  </si>
  <si>
    <t>1401/6/31</t>
  </si>
  <si>
    <t>1401/7/1</t>
  </si>
  <si>
    <t>1401/7/2</t>
  </si>
  <si>
    <t>1401/7/3</t>
  </si>
  <si>
    <t>1401/7/4</t>
  </si>
  <si>
    <t>1401/7/5</t>
  </si>
  <si>
    <t>1401/7/6</t>
  </si>
  <si>
    <t>1401/7/7</t>
  </si>
  <si>
    <t>1401/7/8</t>
  </si>
  <si>
    <t>1401/7/9</t>
  </si>
  <si>
    <t>1401/7/10</t>
  </si>
  <si>
    <t>1401/7/11</t>
  </si>
  <si>
    <t>1401/7/12</t>
  </si>
  <si>
    <t>1401/7/13</t>
  </si>
  <si>
    <t>1401/7/14</t>
  </si>
  <si>
    <t>1401/7/15</t>
  </si>
  <si>
    <t>1401/7/16</t>
  </si>
  <si>
    <t>1401/7/17</t>
  </si>
  <si>
    <t>1401/7/18</t>
  </si>
  <si>
    <t>1401/7/19</t>
  </si>
  <si>
    <t>1401/7/20</t>
  </si>
  <si>
    <t>1401/7/21</t>
  </si>
  <si>
    <t>1401/7/22</t>
  </si>
  <si>
    <t>1401/7/23</t>
  </si>
  <si>
    <t>1401/7/24</t>
  </si>
  <si>
    <t>1401/7/25</t>
  </si>
  <si>
    <t>1401/7/26</t>
  </si>
  <si>
    <t>1401/7/27</t>
  </si>
  <si>
    <t>1401/7/28</t>
  </si>
  <si>
    <t>1401/7/29</t>
  </si>
  <si>
    <t>1401/7/30</t>
  </si>
  <si>
    <t>1401/8/1</t>
  </si>
  <si>
    <t>1401/8/2</t>
  </si>
  <si>
    <t>1401/8/3</t>
  </si>
  <si>
    <t>1401/8/4</t>
  </si>
  <si>
    <t>1401/8/5</t>
  </si>
  <si>
    <t>1401/8/6</t>
  </si>
  <si>
    <t>1401/8/7</t>
  </si>
  <si>
    <t>1401/8/8</t>
  </si>
  <si>
    <t>1401/8/9</t>
  </si>
  <si>
    <t>1401/8/10</t>
  </si>
  <si>
    <t>1401/8/11</t>
  </si>
  <si>
    <t>1401/8/12</t>
  </si>
  <si>
    <t>1401/8/13</t>
  </si>
  <si>
    <t>1401/8/14</t>
  </si>
  <si>
    <t>1401/8/15</t>
  </si>
  <si>
    <t>1401/8/16</t>
  </si>
  <si>
    <t>1401/8/17</t>
  </si>
  <si>
    <t>1401/8/18</t>
  </si>
  <si>
    <t>1401/8/19</t>
  </si>
  <si>
    <t>1401/8/20</t>
  </si>
  <si>
    <t>1401/8/21</t>
  </si>
  <si>
    <t>1401/8/22</t>
  </si>
  <si>
    <t>1401/8/23</t>
  </si>
  <si>
    <t>1401/8/24</t>
  </si>
  <si>
    <t>1401/8/25</t>
  </si>
  <si>
    <t>1401/8/26</t>
  </si>
  <si>
    <t>1401/8/27</t>
  </si>
  <si>
    <t>1401/8/28</t>
  </si>
  <si>
    <t>1401/8/29</t>
  </si>
  <si>
    <t>1401/8/30</t>
  </si>
  <si>
    <t>1401/9/1</t>
  </si>
  <si>
    <t>1401/9/2</t>
  </si>
  <si>
    <t>1401/9/3</t>
  </si>
  <si>
    <t>1401/9/4</t>
  </si>
  <si>
    <t>1401/9/5</t>
  </si>
  <si>
    <t>1401/9/6</t>
  </si>
  <si>
    <t>1401/9/7</t>
  </si>
  <si>
    <t>1401/9/8</t>
  </si>
  <si>
    <t>1401/9/9</t>
  </si>
  <si>
    <t>1401/9/10</t>
  </si>
  <si>
    <t>1401/9/11</t>
  </si>
  <si>
    <t>1401/9/12</t>
  </si>
  <si>
    <t>1401/9/13</t>
  </si>
  <si>
    <t>1401/9/14</t>
  </si>
  <si>
    <t>1401/9/15</t>
  </si>
  <si>
    <t>1401/9/16</t>
  </si>
  <si>
    <t>1401/9/17</t>
  </si>
  <si>
    <t>1401/9/18</t>
  </si>
  <si>
    <t>1401/9/19</t>
  </si>
  <si>
    <t>1401/9/20</t>
  </si>
  <si>
    <t>1401/9/21</t>
  </si>
  <si>
    <t>1401/9/22</t>
  </si>
  <si>
    <t>1401/9/23</t>
  </si>
  <si>
    <t>1401/9/24</t>
  </si>
  <si>
    <t>1401/9/25</t>
  </si>
  <si>
    <t>1401/9/26</t>
  </si>
  <si>
    <t>1401/9/27</t>
  </si>
  <si>
    <t>1401/9/28</t>
  </si>
  <si>
    <t>1401/9/29</t>
  </si>
  <si>
    <t>1401/9/30</t>
  </si>
  <si>
    <t>1401/10/1</t>
  </si>
  <si>
    <t>1401/10/2</t>
  </si>
  <si>
    <t>1401/10/3</t>
  </si>
  <si>
    <t>1401/10/4</t>
  </si>
  <si>
    <t>1401/10/5</t>
  </si>
  <si>
    <t>1401/10/6</t>
  </si>
  <si>
    <t>1401/10/7</t>
  </si>
  <si>
    <t>1401/10/8</t>
  </si>
  <si>
    <t>1401/10/9</t>
  </si>
  <si>
    <t>1401/11/1</t>
  </si>
  <si>
    <t>1401/11/2</t>
  </si>
  <si>
    <t>1401/11/3</t>
  </si>
  <si>
    <t>1401/11/4</t>
  </si>
  <si>
    <t>1401/11/5</t>
  </si>
  <si>
    <t>1401/11/6</t>
  </si>
  <si>
    <t>1401/11/7</t>
  </si>
  <si>
    <t>1401/11/8</t>
  </si>
  <si>
    <t>1401/11/9</t>
  </si>
  <si>
    <t>1401/12/1</t>
  </si>
  <si>
    <t>1401/12/2</t>
  </si>
  <si>
    <t>1401/12/3</t>
  </si>
  <si>
    <t>1401/12/4</t>
  </si>
  <si>
    <t>1401/12/5</t>
  </si>
  <si>
    <t>1401/12/6</t>
  </si>
  <si>
    <t>1401/12/7</t>
  </si>
  <si>
    <t>1401/12/8</t>
  </si>
  <si>
    <t>1401/12/9</t>
  </si>
  <si>
    <t>1401/12/23</t>
  </si>
  <si>
    <t>XRF</t>
  </si>
  <si>
    <t>ICP</t>
  </si>
  <si>
    <t>AAS</t>
  </si>
  <si>
    <t>قابل قبول</t>
  </si>
  <si>
    <t>رد</t>
  </si>
  <si>
    <t>مشکوک</t>
  </si>
  <si>
    <t>1400/02/13</t>
  </si>
  <si>
    <t>1400/02/14</t>
  </si>
  <si>
    <t>1400/02/15</t>
  </si>
  <si>
    <t>1400/02/16</t>
  </si>
  <si>
    <t>1400/02/17</t>
  </si>
  <si>
    <t>1400/02/18</t>
  </si>
  <si>
    <t>1400/02/19</t>
  </si>
  <si>
    <t>1400/02/20</t>
  </si>
  <si>
    <t>1400/02/21</t>
  </si>
  <si>
    <t>1400/02/22</t>
  </si>
  <si>
    <t>1400/02/23</t>
  </si>
  <si>
    <t xml:space="preserve">شناسه سند </t>
  </si>
  <si>
    <t xml:space="preserve"> شناسه واحد فرایند </t>
  </si>
  <si>
    <t xml:space="preserve">تاریخ درخواست </t>
  </si>
  <si>
    <t>سینا</t>
  </si>
  <si>
    <t>احدی</t>
  </si>
  <si>
    <t>رضا</t>
  </si>
  <si>
    <t>ارام جو</t>
  </si>
  <si>
    <t>امیرحسین</t>
  </si>
  <si>
    <t>حاجی حاتم</t>
  </si>
  <si>
    <t>رهبر</t>
  </si>
  <si>
    <t>جواد</t>
  </si>
  <si>
    <t>سبحانی</t>
  </si>
  <si>
    <t>مدت زمان توقف تولید</t>
  </si>
  <si>
    <t>هزینه تعمیر</t>
  </si>
  <si>
    <t>شرح مشکل</t>
  </si>
  <si>
    <t>مشکلات هماهنگی</t>
  </si>
  <si>
    <t>تعمیر اضطراری</t>
  </si>
  <si>
    <t>عدم آموزش</t>
  </si>
  <si>
    <t>خرابی تکراری</t>
  </si>
  <si>
    <t>D</t>
  </si>
  <si>
    <t xml:space="preserve">نرخ خرابی </t>
  </si>
  <si>
    <t xml:space="preserve">فشار انبار </t>
  </si>
  <si>
    <t xml:space="preserve">انبار نرمه </t>
  </si>
  <si>
    <t xml:space="preserve">انبار برگشتی </t>
  </si>
  <si>
    <t xml:space="preserve">دما انبار </t>
  </si>
  <si>
    <t>مدت نگهداری (روز)</t>
  </si>
  <si>
    <t xml:space="preserve">شناسه جریان محصول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</si>
</sst>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h:mm;@"/>
    <numFmt numFmtId="165" formatCode="0.000"/>
    <numFmt numFmtId="166" formatCode="0.0000"/>
    <numFmt numFmtId="167" formatCode="[$-160429]dd/mm/yy;@"/>
  </numFmts>
  <fonts count="5">
    <font>
      <sz val="11"/>
      <color theme="1"/>
      <name val="Calibri"/>
      <family val="2"/>
      <scheme val="minor"/>
    </font>
    <font>
      <sz val="14"/>
      <color theme="1"/>
      <name val="B Nazanin"/>
      <family val="2"/>
    </font>
    <font>
      <sz val="14"/>
      <color theme="1"/>
      <name val="B Nazanin"/>
      <family val="2"/>
    </font>
    <font>
      <sz val="11"/>
      <color theme="1"/>
      <name val="Calibri"/>
      <family val="2"/>
      <scheme val="minor"/>
    </font>
    <font>
      <sz val="14"/>
      <color rgb="FF006100"/>
      <name val="B Nazanin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4" fillId="3" borderId="1" xfId="2" applyBorder="1"/>
    <xf numFmtId="167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right" vertical="center"/>
    </xf>
    <xf numFmtId="1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1" fontId="0" fillId="0" borderId="0" xfId="0" applyNumberFormat="1"/>
    <xf numFmtId="1" fontId="0" fillId="0" borderId="1" xfId="1" applyNumberFormat="1" applyFont="1" applyBorder="1"/>
    <xf numFmtId="1" fontId="0" fillId="0" borderId="5" xfId="1" applyNumberFormat="1" applyFont="1" applyBorder="1"/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4" borderId="1" xfId="3" applyFont="1" applyBorder="1" applyAlignment="1">
      <alignment horizontal="center" vertical="center"/>
    </xf>
    <xf numFmtId="1" fontId="1" fillId="4" borderId="1" xfId="3" applyNumberFormat="1" applyFont="1" applyBorder="1" applyAlignment="1">
      <alignment horizontal="center" vertical="center"/>
    </xf>
    <xf numFmtId="0" fontId="4" fillId="3" borderId="2" xfId="2" applyBorder="1" applyAlignment="1">
      <alignment horizontal="center"/>
    </xf>
    <xf numFmtId="0" fontId="4" fillId="3" borderId="3" xfId="2" applyBorder="1" applyAlignment="1">
      <alignment horizontal="center"/>
    </xf>
  </cellXfs>
  <cellStyles count="4">
    <cellStyle name="40% - Accent6" xfId="3" builtinId="51"/>
    <cellStyle name="Currency" xfId="1" builtinId="4"/>
    <cellStyle name="Good" xfId="2" builtinId="26"/>
    <cellStyle name="Normal" xfId="0" builtinId="0"/>
  </cellStyles>
  <dxfs count="138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h:mm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Nazan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h:m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I360" totalsRowCount="1" headerRowDxfId="137" dataDxfId="135" headerRowBorderDxfId="136" tableBorderDxfId="134" headerRowCellStyle="40% - Accent6">
  <autoFilter ref="A1:I359"/>
  <sortState ref="A2:F359">
    <sortCondition ref="B1:B201"/>
  </sortState>
  <tableColumns count="9">
    <tableColumn id="1" name="شناسه گزارش شیفت " dataDxfId="133" totalsRowDxfId="7"/>
    <tableColumn id="2" name="تاریخ گزارش " dataDxfId="132" totalsRowDxfId="6"/>
    <tableColumn id="3" name="نام واحد" dataDxfId="131" totalsRowDxfId="5"/>
    <tableColumn id="8" name="نوع شیفت " dataDxfId="130" totalsRowDxfId="4"/>
    <tableColumn id="9" name="ساعت شروع " dataDxfId="129" totalsRowDxfId="3"/>
    <tableColumn id="4" name="تعداد پرسنل " dataDxfId="128" totalsRowDxfId="2"/>
    <tableColumn id="5" name=" گزارش های دریافتی" dataDxfId="127" totalsRowDxfId="1">
      <calculatedColumnFormula>SUM(Table1[[#This Row],[گزارش های تایید شده ]],Table1[[#This Row],[گزارش های رد شده ]])</calculatedColumnFormula>
    </tableColumn>
    <tableColumn id="6" name="گزارش های تایید شده " dataDxfId="126"/>
    <tableColumn id="7" name="گزارش های رد شده " dataDxfId="125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25" totalsRowShown="0" headerRowDxfId="124" dataDxfId="122" headerRowBorderDxfId="123" tableBorderDxfId="121" headerRowCellStyle="40% - Accent6">
  <autoFilter ref="A2:H25"/>
  <tableColumns count="8">
    <tableColumn id="1" name="شناسه واحد فرآیند" dataDxfId="120"/>
    <tableColumn id="2" name="نام واحد" dataDxfId="119"/>
    <tableColumn id="3" name="نوع واحد" dataDxfId="118"/>
    <tableColumn id="4" name="بخش" dataDxfId="117"/>
    <tableColumn id="5" name="تعداد پرسنل " dataDxfId="116"/>
    <tableColumn id="6" name="مدیر واحد " dataDxfId="115"/>
    <tableColumn id="7" name="زمان عملیاتی " dataDxfId="114"/>
    <tableColumn id="8" name="بودجه  (میلیون) " dataDxfId="1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B2:I360" totalsRowShown="0" headerRowDxfId="112" dataDxfId="110" headerRowBorderDxfId="111" tableBorderDxfId="109" totalsRowBorderDxfId="108">
  <autoFilter ref="B2:I360"/>
  <tableColumns count="8">
    <tableColumn id="1" name="شناسه جریان مواد" dataDxfId="107"/>
    <tableColumn id="2" name="شناسه گزارش شیفت" dataDxfId="106"/>
    <tableColumn id="3" name="تناژ ورودی" dataDxfId="105"/>
    <tableColumn id="4" name="تناژ خروجی" dataDxfId="104"/>
    <tableColumn id="5" name="تناژ بازیافتی" dataDxfId="103"/>
    <tableColumn id="6" name="تناژ مردود" dataDxfId="102"/>
    <tableColumn id="7" name="نرخ تغذیه (تن در ساعت)" dataDxfId="101"/>
    <tableColumn id="8" name="درصد خلوص 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K360" totalsRowShown="0" headerRowDxfId="99" dataDxfId="97" headerRowBorderDxfId="98" tableBorderDxfId="96" totalsRowBorderDxfId="95" headerRowCellStyle="40% - Accent6">
  <autoFilter ref="A2:K360"/>
  <tableColumns count="11">
    <tableColumn id="1" name="شناسه جریان محصول" dataDxfId="94"/>
    <tableColumn id="2" name="شناسه جریان مواد" dataDxfId="93"/>
    <tableColumn id="3" name="نوع جریان" dataDxfId="92"/>
    <tableColumn id="4" name="وزن خشک" dataDxfId="91"/>
    <tableColumn id="5" name="وزن تر" dataDxfId="90"/>
    <tableColumn id="6" name="درصد رطوبت" dataDxfId="89"/>
    <tableColumn id="7" name="%Cu" dataDxfId="88"/>
    <tableColumn id="8" name="%Fe" dataDxfId="87"/>
    <tableColumn id="9" name="%CuO" dataDxfId="86"/>
    <tableColumn id="10" name="ناخالصی %" dataDxfId="85"/>
    <tableColumn id="11" name="مولیبدن" dataDxfId="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2:I361" totalsRowShown="0" headerRowDxfId="83" headerRowBorderDxfId="82" tableBorderDxfId="81" totalsRowBorderDxfId="80" headerRowCellStyle="40% - Accent6">
  <autoFilter ref="A2:I361"/>
  <tableColumns count="9">
    <tableColumn id="1" name="شناسه تحلیل شیمیایی" dataDxfId="79"/>
    <tableColumn id="2" name="شناسه جریان محصول" dataDxfId="78"/>
    <tableColumn id="3" name="تاریخ " dataDxfId="77"/>
    <tableColumn id="4" name="درصد مس" dataDxfId="76"/>
    <tableColumn id="5" name="درصد مولیبدن" dataDxfId="75"/>
    <tableColumn id="6" name="درصد طلا" dataDxfId="74"/>
    <tableColumn id="7" name="روش آزمایش" dataDxfId="73"/>
    <tableColumn id="8" name="وضعیت آزمایش" dataDxfId="72"/>
    <tableColumn id="9" name="ازمایشگاه" dataDxfId="7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2:F24" totalsRowShown="0" headerRowDxfId="70" dataDxfId="68" headerRowBorderDxfId="69" tableBorderDxfId="67" totalsRowBorderDxfId="66" headerRowCellStyle="40% - Accent6">
  <autoFilter ref="A2:F24"/>
  <tableColumns count="6">
    <tableColumn id="1" name="شناسه مشتری " dataDxfId="65"/>
    <tableColumn id="2" name="اسم مشتری " dataDxfId="64"/>
    <tableColumn id="3" name="مدیر خرید شرکت " dataDxfId="63"/>
    <tableColumn id="4" name="شماره تماس مدیر خرید " dataDxfId="62"/>
    <tableColumn id="5" name="آدرس " dataDxfId="61"/>
    <tableColumn id="6" name="شرایط اعتباری " dataDxfId="6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2:I361" totalsRowShown="0" headerRowDxfId="59" dataDxfId="57" headerRowBorderDxfId="58" tableBorderDxfId="56" totalsRowBorderDxfId="55" headerRowCellStyle="40% - Accent6">
  <autoFilter ref="A2:I361"/>
  <tableColumns count="9">
    <tableColumn id="1" name="شناسه محموله" dataDxfId="54"/>
    <tableColumn id="2" name="شناسه گزارش شیفت" dataDxfId="53"/>
    <tableColumn id="3" name="شناسه جریان محصول" dataDxfId="52"/>
    <tableColumn id="4" name="مقصد" dataDxfId="51"/>
    <tableColumn id="5" name="تعداد بشکه‌ها" dataDxfId="50"/>
    <tableColumn id="6" name="وزن خشک" dataDxfId="49"/>
    <tableColumn id="7" name="درصد مولیبدن" dataDxfId="48"/>
    <tableColumn id="8" name="درصد مس" dataDxfId="47"/>
    <tableColumn id="9" name="توناژ " dataDxfId="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2:H42" totalsRowShown="0" headerRowDxfId="45" dataDxfId="43" headerRowBorderDxfId="44" tableBorderDxfId="42" totalsRowBorderDxfId="41" headerRowCellStyle="40% - Accent6">
  <autoFilter ref="A2:H42"/>
  <tableColumns count="8">
    <tableColumn id="1" name="کد پرسنلی" dataDxfId="40"/>
    <tableColumn id="2" name="نام" dataDxfId="39"/>
    <tableColumn id="3" name="نام خانوادگی" dataDxfId="38"/>
    <tableColumn id="4" name="بخش کاری" dataDxfId="37"/>
    <tableColumn id="5" name="سمت" dataDxfId="36"/>
    <tableColumn id="6" name="تاریخ استخدام " dataDxfId="35"/>
    <tableColumn id="7" name="شماره تماس" dataDxfId="34"/>
    <tableColumn id="8" name="شیفت " dataDxfId="3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" name="Table3" displayName="Table3" ref="A2:I305" totalsRowShown="0" headerRowDxfId="32" headerRowBorderDxfId="31" tableBorderDxfId="30" totalsRowBorderDxfId="29" headerRowCellStyle="40% - Accent6">
  <autoFilter ref="A2:I305"/>
  <tableColumns count="9">
    <tableColumn id="1" name="شناسه موجودی انبار" dataDxfId="28"/>
    <tableColumn id="2" name="شناسه جریان محصول " dataDxfId="27"/>
    <tableColumn id="3" name="تاریخ گزارش" dataDxfId="26"/>
    <tableColumn id="4" name="نوع ماده" dataDxfId="25"/>
    <tableColumn id="5" name="موقعیت" dataDxfId="24"/>
    <tableColumn id="6" name="موجودی خشک (تن)" dataDxfId="23"/>
    <tableColumn id="7" name="دما انبار " dataDxfId="22"/>
    <tableColumn id="8" name="فشار انبار " dataDxfId="21"/>
    <tableColumn id="9" name="مدت نگهداری (روز)" dataDxfId="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2:G174" totalsRowShown="0" headerRowDxfId="19" dataDxfId="17" headerRowBorderDxfId="18" tableBorderDxfId="16" totalsRowBorderDxfId="15" headerRowCellStyle="40% - Accent6">
  <autoFilter ref="A2:G174"/>
  <tableColumns count="7">
    <tableColumn id="1" name="شناسه سند " dataDxfId="14"/>
    <tableColumn id="2" name=" شناسه واحد فرایند " dataDxfId="13"/>
    <tableColumn id="3" name="مدت زمان توقف تولید" dataDxfId="12"/>
    <tableColumn id="4" name="تاریخ درخواست " dataDxfId="11"/>
    <tableColumn id="5" name="هزینه تعمیر" dataDxfId="10" dataCellStyle="Currency"/>
    <tableColumn id="6" name="شرح مشکل" dataDxfId="9"/>
    <tableColumn id="7" name="نرخ خرابی 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0"/>
  <sheetViews>
    <sheetView tabSelected="1" workbookViewId="0">
      <selection activeCell="B1" sqref="B1:B1048576"/>
    </sheetView>
  </sheetViews>
  <sheetFormatPr defaultRowHeight="14.4"/>
  <cols>
    <col min="1" max="1" width="24" bestFit="1" customWidth="1"/>
    <col min="2" max="2" width="17.44140625" bestFit="1" customWidth="1"/>
    <col min="3" max="3" width="13.44140625" style="7" bestFit="1" customWidth="1"/>
    <col min="4" max="4" width="14.77734375" style="7" bestFit="1" customWidth="1"/>
    <col min="5" max="5" width="17.21875" style="7" bestFit="1" customWidth="1"/>
    <col min="6" max="6" width="16" bestFit="1" customWidth="1"/>
    <col min="7" max="7" width="23.44140625" bestFit="1" customWidth="1"/>
    <col min="8" max="8" width="24.77734375" bestFit="1" customWidth="1"/>
    <col min="9" max="9" width="23.33203125" bestFit="1" customWidth="1"/>
  </cols>
  <sheetData>
    <row r="1" spans="1:9" ht="17.399999999999999">
      <c r="A1" s="49" t="s">
        <v>560</v>
      </c>
      <c r="B1" s="49" t="s">
        <v>68</v>
      </c>
      <c r="C1" s="49" t="s">
        <v>56</v>
      </c>
      <c r="D1" s="49" t="s">
        <v>443</v>
      </c>
      <c r="E1" s="49" t="s">
        <v>444</v>
      </c>
      <c r="F1" s="49" t="s">
        <v>439</v>
      </c>
      <c r="G1" s="49" t="s">
        <v>442</v>
      </c>
      <c r="H1" s="49" t="s">
        <v>441</v>
      </c>
      <c r="I1" s="49" t="s">
        <v>440</v>
      </c>
    </row>
    <row r="2" spans="1:9">
      <c r="A2" s="6">
        <v>1</v>
      </c>
      <c r="B2" s="4" t="s">
        <v>69</v>
      </c>
      <c r="C2" s="6" t="s">
        <v>1</v>
      </c>
      <c r="D2" s="6" t="s">
        <v>445</v>
      </c>
      <c r="E2" s="8">
        <v>0.375</v>
      </c>
      <c r="F2" s="6">
        <v>14</v>
      </c>
      <c r="G2" s="6">
        <f>SUM(Table1[[#This Row],[گزارش های تایید شده ]],Table1[[#This Row],[گزارش های رد شده ]])</f>
        <v>24</v>
      </c>
      <c r="H2" s="6">
        <v>19</v>
      </c>
      <c r="I2" s="6">
        <v>5</v>
      </c>
    </row>
    <row r="3" spans="1:9">
      <c r="A3" s="6">
        <v>2</v>
      </c>
      <c r="B3" s="4" t="s">
        <v>69</v>
      </c>
      <c r="C3" s="6" t="s">
        <v>0</v>
      </c>
      <c r="D3" s="6" t="s">
        <v>445</v>
      </c>
      <c r="E3" s="8">
        <v>0.70833333333333337</v>
      </c>
      <c r="F3" s="6">
        <v>13</v>
      </c>
      <c r="G3" s="6">
        <f>SUM(Table1[[#This Row],[گزارش های تایید شده ]],Table1[[#This Row],[گزارش های رد شده ]])</f>
        <v>20</v>
      </c>
      <c r="H3" s="6">
        <v>20</v>
      </c>
      <c r="I3" s="6">
        <v>0</v>
      </c>
    </row>
    <row r="4" spans="1:9">
      <c r="A4" s="6">
        <v>3</v>
      </c>
      <c r="B4" s="4" t="s">
        <v>69</v>
      </c>
      <c r="C4" s="6" t="s">
        <v>2</v>
      </c>
      <c r="D4" s="6" t="s">
        <v>446</v>
      </c>
      <c r="E4" s="8">
        <v>0.375</v>
      </c>
      <c r="F4" s="6">
        <v>12</v>
      </c>
      <c r="G4" s="6">
        <f>SUM(Table1[[#This Row],[گزارش های تایید شده ]],Table1[[#This Row],[گزارش های رد شده ]])</f>
        <v>18</v>
      </c>
      <c r="H4" s="6">
        <v>18</v>
      </c>
      <c r="I4" s="6">
        <v>0</v>
      </c>
    </row>
    <row r="5" spans="1:9">
      <c r="A5" s="6">
        <v>4</v>
      </c>
      <c r="B5" s="4" t="s">
        <v>70</v>
      </c>
      <c r="C5" s="6" t="s">
        <v>1</v>
      </c>
      <c r="D5" s="6" t="s">
        <v>446</v>
      </c>
      <c r="E5" s="8">
        <v>0.75</v>
      </c>
      <c r="F5" s="6">
        <v>14</v>
      </c>
      <c r="G5" s="6">
        <f>SUM(Table1[[#This Row],[گزارش های تایید شده ]],Table1[[#This Row],[گزارش های رد شده ]])</f>
        <v>22</v>
      </c>
      <c r="H5" s="6">
        <v>18</v>
      </c>
      <c r="I5" s="6">
        <v>4</v>
      </c>
    </row>
    <row r="6" spans="1:9">
      <c r="A6" s="6">
        <v>5</v>
      </c>
      <c r="B6" s="4" t="s">
        <v>70</v>
      </c>
      <c r="C6" s="6" t="s">
        <v>0</v>
      </c>
      <c r="D6" s="6" t="s">
        <v>446</v>
      </c>
      <c r="E6" s="8">
        <v>0.75</v>
      </c>
      <c r="F6" s="6">
        <v>11</v>
      </c>
      <c r="G6" s="6">
        <f>SUM(Table1[[#This Row],[گزارش های تایید شده ]],Table1[[#This Row],[گزارش های رد شده ]])</f>
        <v>22</v>
      </c>
      <c r="H6" s="6">
        <v>19</v>
      </c>
      <c r="I6" s="6">
        <v>3</v>
      </c>
    </row>
    <row r="7" spans="1:9">
      <c r="A7" s="6">
        <v>6</v>
      </c>
      <c r="B7" s="4" t="s">
        <v>70</v>
      </c>
      <c r="C7" s="6" t="s">
        <v>2</v>
      </c>
      <c r="D7" s="6" t="s">
        <v>446</v>
      </c>
      <c r="E7" s="8">
        <v>0.33333333333333331</v>
      </c>
      <c r="F7" s="6">
        <v>9</v>
      </c>
      <c r="G7" s="6">
        <f>SUM(Table1[[#This Row],[گزارش های تایید شده ]],Table1[[#This Row],[گزارش های رد شده ]])</f>
        <v>22</v>
      </c>
      <c r="H7" s="6">
        <v>18</v>
      </c>
      <c r="I7" s="6">
        <v>4</v>
      </c>
    </row>
    <row r="8" spans="1:9">
      <c r="A8" s="6">
        <v>7</v>
      </c>
      <c r="B8" s="4" t="s">
        <v>71</v>
      </c>
      <c r="C8" s="6" t="s">
        <v>1</v>
      </c>
      <c r="D8" s="6" t="s">
        <v>445</v>
      </c>
      <c r="E8" s="8">
        <v>0.75</v>
      </c>
      <c r="F8" s="6">
        <v>10</v>
      </c>
      <c r="G8" s="6">
        <f>SUM(Table1[[#This Row],[گزارش های تایید شده ]],Table1[[#This Row],[گزارش های رد شده ]])</f>
        <v>24</v>
      </c>
      <c r="H8" s="6">
        <v>19</v>
      </c>
      <c r="I8" s="6">
        <v>5</v>
      </c>
    </row>
    <row r="9" spans="1:9">
      <c r="A9" s="6">
        <v>8</v>
      </c>
      <c r="B9" s="4" t="s">
        <v>71</v>
      </c>
      <c r="C9" s="6" t="s">
        <v>0</v>
      </c>
      <c r="D9" s="6" t="s">
        <v>446</v>
      </c>
      <c r="E9" s="8">
        <v>0.54166666666666663</v>
      </c>
      <c r="F9" s="6">
        <v>13</v>
      </c>
      <c r="G9" s="6">
        <f>SUM(Table1[[#This Row],[گزارش های تایید شده ]],Table1[[#This Row],[گزارش های رد شده ]])</f>
        <v>23</v>
      </c>
      <c r="H9" s="6">
        <v>18</v>
      </c>
      <c r="I9" s="6">
        <v>5</v>
      </c>
    </row>
    <row r="10" spans="1:9">
      <c r="A10" s="6">
        <v>9</v>
      </c>
      <c r="B10" s="4" t="s">
        <v>71</v>
      </c>
      <c r="C10" s="6" t="s">
        <v>2</v>
      </c>
      <c r="D10" s="6" t="s">
        <v>446</v>
      </c>
      <c r="E10" s="8">
        <v>0.66666666666666663</v>
      </c>
      <c r="F10" s="6">
        <v>8</v>
      </c>
      <c r="G10" s="6">
        <f>SUM(Table1[[#This Row],[گزارش های تایید شده ]],Table1[[#This Row],[گزارش های رد شده ]])</f>
        <v>23</v>
      </c>
      <c r="H10" s="6">
        <v>18</v>
      </c>
      <c r="I10" s="6">
        <v>5</v>
      </c>
    </row>
    <row r="11" spans="1:9">
      <c r="A11" s="6">
        <v>10</v>
      </c>
      <c r="B11" s="4" t="s">
        <v>72</v>
      </c>
      <c r="C11" s="6" t="s">
        <v>1</v>
      </c>
      <c r="D11" s="6" t="s">
        <v>446</v>
      </c>
      <c r="E11" s="8">
        <v>0.79166666666666663</v>
      </c>
      <c r="F11" s="6">
        <v>9</v>
      </c>
      <c r="G11" s="6">
        <f>SUM(Table1[[#This Row],[گزارش های تایید شده ]],Table1[[#This Row],[گزارش های رد شده ]])</f>
        <v>23</v>
      </c>
      <c r="H11" s="6">
        <v>20</v>
      </c>
      <c r="I11" s="6">
        <v>3</v>
      </c>
    </row>
    <row r="12" spans="1:9">
      <c r="A12" s="6">
        <v>11</v>
      </c>
      <c r="B12" s="4" t="s">
        <v>72</v>
      </c>
      <c r="C12" s="6" t="s">
        <v>0</v>
      </c>
      <c r="D12" s="6" t="s">
        <v>446</v>
      </c>
      <c r="E12" s="8">
        <v>0.79166666666666663</v>
      </c>
      <c r="F12" s="6">
        <v>12</v>
      </c>
      <c r="G12" s="6">
        <f>SUM(Table1[[#This Row],[گزارش های تایید شده ]],Table1[[#This Row],[گزارش های رد شده ]])</f>
        <v>20</v>
      </c>
      <c r="H12" s="6">
        <v>19</v>
      </c>
      <c r="I12" s="6">
        <v>1</v>
      </c>
    </row>
    <row r="13" spans="1:9">
      <c r="A13" s="6">
        <v>12</v>
      </c>
      <c r="B13" s="4" t="s">
        <v>72</v>
      </c>
      <c r="C13" s="6" t="s">
        <v>2</v>
      </c>
      <c r="D13" s="6" t="s">
        <v>445</v>
      </c>
      <c r="E13" s="8">
        <v>0.33333333333333331</v>
      </c>
      <c r="F13" s="6">
        <v>8</v>
      </c>
      <c r="G13" s="6">
        <f>SUM(Table1[[#This Row],[گزارش های تایید شده ]],Table1[[#This Row],[گزارش های رد شده ]])</f>
        <v>23</v>
      </c>
      <c r="H13" s="6">
        <v>20</v>
      </c>
      <c r="I13" s="6">
        <v>3</v>
      </c>
    </row>
    <row r="14" spans="1:9">
      <c r="A14" s="6">
        <v>13</v>
      </c>
      <c r="B14" s="4" t="s">
        <v>73</v>
      </c>
      <c r="C14" s="6" t="s">
        <v>1</v>
      </c>
      <c r="D14" s="6" t="s">
        <v>445</v>
      </c>
      <c r="E14" s="8">
        <v>0.5</v>
      </c>
      <c r="F14" s="6">
        <v>13</v>
      </c>
      <c r="G14" s="6">
        <f>SUM(Table1[[#This Row],[گزارش های تایید شده ]],Table1[[#This Row],[گزارش های رد شده ]])</f>
        <v>22</v>
      </c>
      <c r="H14" s="6">
        <v>18</v>
      </c>
      <c r="I14" s="6">
        <v>4</v>
      </c>
    </row>
    <row r="15" spans="1:9">
      <c r="A15" s="6">
        <v>14</v>
      </c>
      <c r="B15" s="4" t="s">
        <v>73</v>
      </c>
      <c r="C15" s="6" t="s">
        <v>0</v>
      </c>
      <c r="D15" s="6" t="s">
        <v>445</v>
      </c>
      <c r="E15" s="8">
        <v>0.79166666666666663</v>
      </c>
      <c r="F15" s="2">
        <v>15</v>
      </c>
      <c r="G15" s="6">
        <f>SUM(Table1[[#This Row],[گزارش های تایید شده ]],Table1[[#This Row],[گزارش های رد شده ]])</f>
        <v>21</v>
      </c>
      <c r="H15" s="6">
        <v>17</v>
      </c>
      <c r="I15" s="6">
        <v>4</v>
      </c>
    </row>
    <row r="16" spans="1:9">
      <c r="A16" s="6">
        <v>15</v>
      </c>
      <c r="B16" s="4" t="s">
        <v>73</v>
      </c>
      <c r="C16" s="6" t="s">
        <v>2</v>
      </c>
      <c r="D16" s="6" t="s">
        <v>445</v>
      </c>
      <c r="E16" s="8">
        <v>0.5</v>
      </c>
      <c r="F16" s="6">
        <v>10</v>
      </c>
      <c r="G16" s="6">
        <f>SUM(Table1[[#This Row],[گزارش های تایید شده ]],Table1[[#This Row],[گزارش های رد شده ]])</f>
        <v>21</v>
      </c>
      <c r="H16" s="6">
        <v>17</v>
      </c>
      <c r="I16" s="6">
        <v>4</v>
      </c>
    </row>
    <row r="17" spans="1:9">
      <c r="A17" s="6">
        <v>16</v>
      </c>
      <c r="B17" s="4" t="s">
        <v>74</v>
      </c>
      <c r="C17" s="6" t="s">
        <v>1</v>
      </c>
      <c r="D17" s="6" t="s">
        <v>446</v>
      </c>
      <c r="E17" s="8">
        <v>0.58333333333333337</v>
      </c>
      <c r="F17" s="2">
        <v>8</v>
      </c>
      <c r="G17" s="6">
        <f>SUM(Table1[[#This Row],[گزارش های تایید شده ]],Table1[[#This Row],[گزارش های رد شده ]])</f>
        <v>20</v>
      </c>
      <c r="H17" s="6">
        <v>18</v>
      </c>
      <c r="I17" s="6">
        <v>2</v>
      </c>
    </row>
    <row r="18" spans="1:9">
      <c r="A18" s="6">
        <v>17</v>
      </c>
      <c r="B18" s="4" t="s">
        <v>74</v>
      </c>
      <c r="C18" s="6" t="s">
        <v>0</v>
      </c>
      <c r="D18" s="6" t="s">
        <v>446</v>
      </c>
      <c r="E18" s="8">
        <v>0.79166666666666663</v>
      </c>
      <c r="F18" s="6">
        <v>9</v>
      </c>
      <c r="G18" s="6">
        <f>SUM(Table1[[#This Row],[گزارش های تایید شده ]],Table1[[#This Row],[گزارش های رد شده ]])</f>
        <v>21</v>
      </c>
      <c r="H18" s="6">
        <v>18</v>
      </c>
      <c r="I18" s="6">
        <v>3</v>
      </c>
    </row>
    <row r="19" spans="1:9">
      <c r="A19" s="6">
        <v>18</v>
      </c>
      <c r="B19" s="4" t="s">
        <v>74</v>
      </c>
      <c r="C19" s="6" t="s">
        <v>2</v>
      </c>
      <c r="D19" s="6" t="s">
        <v>446</v>
      </c>
      <c r="E19" s="8">
        <v>0.33333333333333331</v>
      </c>
      <c r="F19" s="6">
        <v>11</v>
      </c>
      <c r="G19" s="6">
        <f>SUM(Table1[[#This Row],[گزارش های تایید شده ]],Table1[[#This Row],[گزارش های رد شده ]])</f>
        <v>18</v>
      </c>
      <c r="H19" s="6">
        <v>18</v>
      </c>
      <c r="I19" s="6">
        <v>0</v>
      </c>
    </row>
    <row r="20" spans="1:9">
      <c r="A20" s="6">
        <v>19</v>
      </c>
      <c r="B20" s="4" t="s">
        <v>75</v>
      </c>
      <c r="C20" s="6" t="s">
        <v>1</v>
      </c>
      <c r="D20" s="6" t="s">
        <v>446</v>
      </c>
      <c r="E20" s="8">
        <v>0.75</v>
      </c>
      <c r="F20" s="6">
        <v>12</v>
      </c>
      <c r="G20" s="6">
        <f>SUM(Table1[[#This Row],[گزارش های تایید شده ]],Table1[[#This Row],[گزارش های رد شده ]])</f>
        <v>24</v>
      </c>
      <c r="H20" s="6">
        <v>20</v>
      </c>
      <c r="I20" s="6">
        <v>4</v>
      </c>
    </row>
    <row r="21" spans="1:9">
      <c r="A21" s="6">
        <v>20</v>
      </c>
      <c r="B21" s="4" t="s">
        <v>75</v>
      </c>
      <c r="C21" s="6" t="s">
        <v>0</v>
      </c>
      <c r="D21" s="6" t="s">
        <v>446</v>
      </c>
      <c r="E21" s="8">
        <v>0.625</v>
      </c>
      <c r="F21" s="6">
        <v>10</v>
      </c>
      <c r="G21" s="6">
        <f>SUM(Table1[[#This Row],[گزارش های تایید شده ]],Table1[[#This Row],[گزارش های رد شده ]])</f>
        <v>20</v>
      </c>
      <c r="H21" s="6">
        <v>18</v>
      </c>
      <c r="I21" s="6">
        <v>2</v>
      </c>
    </row>
    <row r="22" spans="1:9">
      <c r="A22" s="6">
        <v>21</v>
      </c>
      <c r="B22" s="4" t="s">
        <v>75</v>
      </c>
      <c r="C22" s="6" t="s">
        <v>2</v>
      </c>
      <c r="D22" s="6" t="s">
        <v>445</v>
      </c>
      <c r="E22" s="8">
        <v>0.41666666666666669</v>
      </c>
      <c r="F22" s="6">
        <v>8</v>
      </c>
      <c r="G22" s="6">
        <f>SUM(Table1[[#This Row],[گزارش های تایید شده ]],Table1[[#This Row],[گزارش های رد شده ]])</f>
        <v>22</v>
      </c>
      <c r="H22" s="6">
        <v>18</v>
      </c>
      <c r="I22" s="6">
        <v>4</v>
      </c>
    </row>
    <row r="23" spans="1:9">
      <c r="A23" s="6">
        <v>22</v>
      </c>
      <c r="B23" s="4" t="s">
        <v>76</v>
      </c>
      <c r="C23" s="6" t="s">
        <v>1</v>
      </c>
      <c r="D23" s="6" t="s">
        <v>445</v>
      </c>
      <c r="E23" s="8">
        <v>0.41666666666666669</v>
      </c>
      <c r="F23" s="6">
        <v>9</v>
      </c>
      <c r="G23" s="6">
        <f>SUM(Table1[[#This Row],[گزارش های تایید شده ]],Table1[[#This Row],[گزارش های رد شده ]])</f>
        <v>20</v>
      </c>
      <c r="H23" s="6">
        <v>19</v>
      </c>
      <c r="I23" s="6">
        <v>1</v>
      </c>
    </row>
    <row r="24" spans="1:9">
      <c r="A24" s="6">
        <v>23</v>
      </c>
      <c r="B24" s="4" t="s">
        <v>76</v>
      </c>
      <c r="C24" s="6" t="s">
        <v>0</v>
      </c>
      <c r="D24" s="6" t="s">
        <v>446</v>
      </c>
      <c r="E24" s="8">
        <v>0.41666666666666669</v>
      </c>
      <c r="F24" s="6">
        <v>14</v>
      </c>
      <c r="G24" s="6">
        <f>SUM(Table1[[#This Row],[گزارش های تایید شده ]],Table1[[#This Row],[گزارش های رد شده ]])</f>
        <v>17</v>
      </c>
      <c r="H24" s="6">
        <v>17</v>
      </c>
      <c r="I24" s="6">
        <v>0</v>
      </c>
    </row>
    <row r="25" spans="1:9">
      <c r="A25" s="6">
        <v>24</v>
      </c>
      <c r="B25" s="4" t="s">
        <v>76</v>
      </c>
      <c r="C25" s="6" t="s">
        <v>2</v>
      </c>
      <c r="D25" s="6" t="s">
        <v>445</v>
      </c>
      <c r="E25" s="8">
        <v>0.375</v>
      </c>
      <c r="F25" s="6">
        <v>12</v>
      </c>
      <c r="G25" s="6">
        <f>SUM(Table1[[#This Row],[گزارش های تایید شده ]],Table1[[#This Row],[گزارش های رد شده ]])</f>
        <v>19</v>
      </c>
      <c r="H25" s="6">
        <v>17</v>
      </c>
      <c r="I25" s="6">
        <v>2</v>
      </c>
    </row>
    <row r="26" spans="1:9">
      <c r="A26" s="6">
        <v>25</v>
      </c>
      <c r="B26" s="4" t="s">
        <v>77</v>
      </c>
      <c r="C26" s="6" t="s">
        <v>1</v>
      </c>
      <c r="D26" s="6" t="s">
        <v>446</v>
      </c>
      <c r="E26" s="8">
        <v>0.41666666666666669</v>
      </c>
      <c r="F26" s="6">
        <v>12</v>
      </c>
      <c r="G26" s="6">
        <f>SUM(Table1[[#This Row],[گزارش های تایید شده ]],Table1[[#This Row],[گزارش های رد شده ]])</f>
        <v>22</v>
      </c>
      <c r="H26" s="6">
        <v>20</v>
      </c>
      <c r="I26" s="6">
        <v>2</v>
      </c>
    </row>
    <row r="27" spans="1:9">
      <c r="A27" s="6">
        <v>26</v>
      </c>
      <c r="B27" s="4" t="s">
        <v>77</v>
      </c>
      <c r="C27" s="6" t="s">
        <v>0</v>
      </c>
      <c r="D27" s="6" t="s">
        <v>446</v>
      </c>
      <c r="E27" s="8">
        <v>0.75</v>
      </c>
      <c r="F27" s="6">
        <v>10</v>
      </c>
      <c r="G27" s="6">
        <f>SUM(Table1[[#This Row],[گزارش های تایید شده ]],Table1[[#This Row],[گزارش های رد شده ]])</f>
        <v>20</v>
      </c>
      <c r="H27" s="6">
        <v>20</v>
      </c>
      <c r="I27" s="6">
        <v>0</v>
      </c>
    </row>
    <row r="28" spans="1:9">
      <c r="A28" s="6">
        <v>27</v>
      </c>
      <c r="B28" s="4" t="s">
        <v>77</v>
      </c>
      <c r="C28" s="6" t="s">
        <v>2</v>
      </c>
      <c r="D28" s="6" t="s">
        <v>446</v>
      </c>
      <c r="E28" s="8">
        <v>0.5</v>
      </c>
      <c r="F28" s="6">
        <v>12</v>
      </c>
      <c r="G28" s="6">
        <f>SUM(Table1[[#This Row],[گزارش های تایید شده ]],Table1[[#This Row],[گزارش های رد شده ]])</f>
        <v>20</v>
      </c>
      <c r="H28" s="6">
        <v>19</v>
      </c>
      <c r="I28" s="6">
        <v>1</v>
      </c>
    </row>
    <row r="29" spans="1:9">
      <c r="A29" s="6">
        <v>28</v>
      </c>
      <c r="B29" s="4" t="s">
        <v>78</v>
      </c>
      <c r="C29" s="6" t="s">
        <v>1</v>
      </c>
      <c r="D29" s="6" t="s">
        <v>445</v>
      </c>
      <c r="E29" s="8">
        <v>0.54166666666666663</v>
      </c>
      <c r="F29" s="6">
        <v>8</v>
      </c>
      <c r="G29" s="6">
        <f>SUM(Table1[[#This Row],[گزارش های تایید شده ]],Table1[[#This Row],[گزارش های رد شده ]])</f>
        <v>23</v>
      </c>
      <c r="H29" s="6">
        <v>20</v>
      </c>
      <c r="I29" s="6">
        <v>3</v>
      </c>
    </row>
    <row r="30" spans="1:9">
      <c r="A30" s="6">
        <v>29</v>
      </c>
      <c r="B30" s="4" t="s">
        <v>78</v>
      </c>
      <c r="C30" s="6" t="s">
        <v>0</v>
      </c>
      <c r="D30" s="6" t="s">
        <v>445</v>
      </c>
      <c r="E30" s="8">
        <v>0.33333333333333331</v>
      </c>
      <c r="F30" s="6">
        <v>14</v>
      </c>
      <c r="G30" s="6">
        <f>SUM(Table1[[#This Row],[گزارش های تایید شده ]],Table1[[#This Row],[گزارش های رد شده ]])</f>
        <v>19</v>
      </c>
      <c r="H30" s="6">
        <v>17</v>
      </c>
      <c r="I30" s="6">
        <v>2</v>
      </c>
    </row>
    <row r="31" spans="1:9">
      <c r="A31" s="6">
        <v>30</v>
      </c>
      <c r="B31" s="4" t="s">
        <v>78</v>
      </c>
      <c r="C31" s="6" t="s">
        <v>2</v>
      </c>
      <c r="D31" s="6" t="s">
        <v>446</v>
      </c>
      <c r="E31" s="8">
        <v>0.33333333333333331</v>
      </c>
      <c r="F31" s="6">
        <v>15</v>
      </c>
      <c r="G31" s="6">
        <f>SUM(Table1[[#This Row],[گزارش های تایید شده ]],Table1[[#This Row],[گزارش های رد شده ]])</f>
        <v>23</v>
      </c>
      <c r="H31" s="6">
        <v>18</v>
      </c>
      <c r="I31" s="6">
        <v>5</v>
      </c>
    </row>
    <row r="32" spans="1:9">
      <c r="A32" s="6">
        <v>31</v>
      </c>
      <c r="B32" s="4" t="s">
        <v>79</v>
      </c>
      <c r="C32" s="6" t="s">
        <v>1</v>
      </c>
      <c r="D32" s="6" t="s">
        <v>445</v>
      </c>
      <c r="E32" s="8">
        <v>0.5</v>
      </c>
      <c r="F32" s="6">
        <v>10</v>
      </c>
      <c r="G32" s="6">
        <f>SUM(Table1[[#This Row],[گزارش های تایید شده ]],Table1[[#This Row],[گزارش های رد شده ]])</f>
        <v>24</v>
      </c>
      <c r="H32" s="6">
        <v>20</v>
      </c>
      <c r="I32" s="6">
        <v>4</v>
      </c>
    </row>
    <row r="33" spans="1:9">
      <c r="A33" s="6">
        <v>32</v>
      </c>
      <c r="B33" s="4" t="s">
        <v>79</v>
      </c>
      <c r="C33" s="6" t="s">
        <v>0</v>
      </c>
      <c r="D33" s="6" t="s">
        <v>446</v>
      </c>
      <c r="E33" s="8">
        <v>0.75</v>
      </c>
      <c r="F33" s="6">
        <v>15</v>
      </c>
      <c r="G33" s="6">
        <f>SUM(Table1[[#This Row],[گزارش های تایید شده ]],Table1[[#This Row],[گزارش های رد شده ]])</f>
        <v>18</v>
      </c>
      <c r="H33" s="6">
        <v>17</v>
      </c>
      <c r="I33" s="6">
        <v>1</v>
      </c>
    </row>
    <row r="34" spans="1:9">
      <c r="A34" s="6">
        <v>33</v>
      </c>
      <c r="B34" s="4" t="s">
        <v>79</v>
      </c>
      <c r="C34" s="6" t="s">
        <v>2</v>
      </c>
      <c r="D34" s="6" t="s">
        <v>446</v>
      </c>
      <c r="E34" s="8">
        <v>0.79166666666666663</v>
      </c>
      <c r="F34" s="6">
        <v>11</v>
      </c>
      <c r="G34" s="6">
        <f>SUM(Table1[[#This Row],[گزارش های تایید شده ]],Table1[[#This Row],[گزارش های رد شده ]])</f>
        <v>21</v>
      </c>
      <c r="H34" s="6">
        <v>18</v>
      </c>
      <c r="I34" s="6">
        <v>3</v>
      </c>
    </row>
    <row r="35" spans="1:9">
      <c r="A35" s="6">
        <v>34</v>
      </c>
      <c r="B35" s="4" t="s">
        <v>80</v>
      </c>
      <c r="C35" s="6" t="s">
        <v>1</v>
      </c>
      <c r="D35" s="6" t="s">
        <v>445</v>
      </c>
      <c r="E35" s="8">
        <v>0.33333333333333331</v>
      </c>
      <c r="F35" s="6">
        <v>13</v>
      </c>
      <c r="G35" s="6">
        <f>SUM(Table1[[#This Row],[گزارش های تایید شده ]],Table1[[#This Row],[گزارش های رد شده ]])</f>
        <v>22</v>
      </c>
      <c r="H35" s="6">
        <v>17</v>
      </c>
      <c r="I35" s="6">
        <v>5</v>
      </c>
    </row>
    <row r="36" spans="1:9">
      <c r="A36" s="6">
        <v>35</v>
      </c>
      <c r="B36" s="4" t="s">
        <v>80</v>
      </c>
      <c r="C36" s="6" t="s">
        <v>0</v>
      </c>
      <c r="D36" s="6" t="s">
        <v>446</v>
      </c>
      <c r="E36" s="8">
        <v>0.33333333333333331</v>
      </c>
      <c r="F36" s="6">
        <v>15</v>
      </c>
      <c r="G36" s="6">
        <f>SUM(Table1[[#This Row],[گزارش های تایید شده ]],Table1[[#This Row],[گزارش های رد شده ]])</f>
        <v>21</v>
      </c>
      <c r="H36" s="6">
        <v>19</v>
      </c>
      <c r="I36" s="6">
        <v>2</v>
      </c>
    </row>
    <row r="37" spans="1:9">
      <c r="A37" s="6">
        <v>36</v>
      </c>
      <c r="B37" s="4" t="s">
        <v>80</v>
      </c>
      <c r="C37" s="6" t="s">
        <v>2</v>
      </c>
      <c r="D37" s="6" t="s">
        <v>445</v>
      </c>
      <c r="E37" s="8">
        <v>0.54166666666666663</v>
      </c>
      <c r="F37" s="6">
        <v>10</v>
      </c>
      <c r="G37" s="6">
        <f>SUM(Table1[[#This Row],[گزارش های تایید شده ]],Table1[[#This Row],[گزارش های رد شده ]])</f>
        <v>19</v>
      </c>
      <c r="H37" s="6">
        <v>18</v>
      </c>
      <c r="I37" s="6">
        <v>1</v>
      </c>
    </row>
    <row r="38" spans="1:9">
      <c r="A38" s="6">
        <v>37</v>
      </c>
      <c r="B38" s="4" t="s">
        <v>81</v>
      </c>
      <c r="C38" s="6" t="s">
        <v>1</v>
      </c>
      <c r="D38" s="6" t="s">
        <v>446</v>
      </c>
      <c r="E38" s="8">
        <v>0.58333333333333337</v>
      </c>
      <c r="F38" s="6">
        <v>9</v>
      </c>
      <c r="G38" s="6">
        <f>SUM(Table1[[#This Row],[گزارش های تایید شده ]],Table1[[#This Row],[گزارش های رد شده ]])</f>
        <v>20</v>
      </c>
      <c r="H38" s="6">
        <v>20</v>
      </c>
      <c r="I38" s="6">
        <v>0</v>
      </c>
    </row>
    <row r="39" spans="1:9">
      <c r="A39" s="6">
        <v>38</v>
      </c>
      <c r="B39" s="4" t="s">
        <v>81</v>
      </c>
      <c r="C39" s="6" t="s">
        <v>0</v>
      </c>
      <c r="D39" s="6" t="s">
        <v>445</v>
      </c>
      <c r="E39" s="8">
        <v>0.41666666666666669</v>
      </c>
      <c r="F39" s="6">
        <v>8</v>
      </c>
      <c r="G39" s="6">
        <f>SUM(Table1[[#This Row],[گزارش های تایید شده ]],Table1[[#This Row],[گزارش های رد شده ]])</f>
        <v>20</v>
      </c>
      <c r="H39" s="6">
        <v>20</v>
      </c>
      <c r="I39" s="6">
        <v>0</v>
      </c>
    </row>
    <row r="40" spans="1:9">
      <c r="A40" s="6">
        <v>39</v>
      </c>
      <c r="B40" s="4" t="s">
        <v>81</v>
      </c>
      <c r="C40" s="6" t="s">
        <v>2</v>
      </c>
      <c r="D40" s="6" t="s">
        <v>446</v>
      </c>
      <c r="E40" s="8">
        <v>0.66666666666666663</v>
      </c>
      <c r="F40" s="6">
        <v>9</v>
      </c>
      <c r="G40" s="6">
        <f>SUM(Table1[[#This Row],[گزارش های تایید شده ]],Table1[[#This Row],[گزارش های رد شده ]])</f>
        <v>22</v>
      </c>
      <c r="H40" s="6">
        <v>20</v>
      </c>
      <c r="I40" s="6">
        <v>2</v>
      </c>
    </row>
    <row r="41" spans="1:9">
      <c r="A41" s="6">
        <v>40</v>
      </c>
      <c r="B41" s="4" t="s">
        <v>82</v>
      </c>
      <c r="C41" s="6" t="s">
        <v>1</v>
      </c>
      <c r="D41" s="6" t="s">
        <v>446</v>
      </c>
      <c r="E41" s="8">
        <v>0.79166666666666663</v>
      </c>
      <c r="F41" s="6">
        <v>12</v>
      </c>
      <c r="G41" s="6">
        <f>SUM(Table1[[#This Row],[گزارش های تایید شده ]],Table1[[#This Row],[گزارش های رد شده ]])</f>
        <v>21</v>
      </c>
      <c r="H41" s="6">
        <v>20</v>
      </c>
      <c r="I41" s="6">
        <v>1</v>
      </c>
    </row>
    <row r="42" spans="1:9">
      <c r="A42" s="6">
        <v>41</v>
      </c>
      <c r="B42" s="4" t="s">
        <v>82</v>
      </c>
      <c r="C42" s="6" t="s">
        <v>0</v>
      </c>
      <c r="D42" s="6" t="s">
        <v>445</v>
      </c>
      <c r="E42" s="8">
        <v>0.54166666666666663</v>
      </c>
      <c r="F42" s="6">
        <v>14</v>
      </c>
      <c r="G42" s="6">
        <f>SUM(Table1[[#This Row],[گزارش های تایید شده ]],Table1[[#This Row],[گزارش های رد شده ]])</f>
        <v>20</v>
      </c>
      <c r="H42" s="6">
        <v>17</v>
      </c>
      <c r="I42" s="6">
        <v>3</v>
      </c>
    </row>
    <row r="43" spans="1:9">
      <c r="A43" s="6">
        <v>42</v>
      </c>
      <c r="B43" s="4" t="s">
        <v>82</v>
      </c>
      <c r="C43" s="6" t="s">
        <v>2</v>
      </c>
      <c r="D43" s="6" t="s">
        <v>445</v>
      </c>
      <c r="E43" s="8">
        <v>0.41666666666666669</v>
      </c>
      <c r="F43" s="6">
        <v>8</v>
      </c>
      <c r="G43" s="6">
        <f>SUM(Table1[[#This Row],[گزارش های تایید شده ]],Table1[[#This Row],[گزارش های رد شده ]])</f>
        <v>21</v>
      </c>
      <c r="H43" s="6">
        <v>18</v>
      </c>
      <c r="I43" s="6">
        <v>3</v>
      </c>
    </row>
    <row r="44" spans="1:9">
      <c r="A44" s="6">
        <v>43</v>
      </c>
      <c r="B44" s="4" t="s">
        <v>83</v>
      </c>
      <c r="C44" s="6" t="s">
        <v>1</v>
      </c>
      <c r="D44" s="6" t="s">
        <v>446</v>
      </c>
      <c r="E44" s="8">
        <v>0.66666666666666663</v>
      </c>
      <c r="F44" s="6">
        <v>10</v>
      </c>
      <c r="G44" s="6">
        <f>SUM(Table1[[#This Row],[گزارش های تایید شده ]],Table1[[#This Row],[گزارش های رد شده ]])</f>
        <v>18</v>
      </c>
      <c r="H44" s="6">
        <v>18</v>
      </c>
      <c r="I44" s="6">
        <v>0</v>
      </c>
    </row>
    <row r="45" spans="1:9">
      <c r="A45" s="6">
        <v>44</v>
      </c>
      <c r="B45" s="4" t="s">
        <v>83</v>
      </c>
      <c r="C45" s="6" t="s">
        <v>0</v>
      </c>
      <c r="D45" s="6" t="s">
        <v>446</v>
      </c>
      <c r="E45" s="8">
        <v>0.54166666666666663</v>
      </c>
      <c r="F45" s="6">
        <v>13</v>
      </c>
      <c r="G45" s="6">
        <f>SUM(Table1[[#This Row],[گزارش های تایید شده ]],Table1[[#This Row],[گزارش های رد شده ]])</f>
        <v>20</v>
      </c>
      <c r="H45" s="6">
        <v>17</v>
      </c>
      <c r="I45" s="6">
        <v>3</v>
      </c>
    </row>
    <row r="46" spans="1:9">
      <c r="A46" s="6">
        <v>45</v>
      </c>
      <c r="B46" s="4" t="s">
        <v>83</v>
      </c>
      <c r="C46" s="6" t="s">
        <v>2</v>
      </c>
      <c r="D46" s="6" t="s">
        <v>446</v>
      </c>
      <c r="E46" s="8">
        <v>0.45833333333333331</v>
      </c>
      <c r="F46" s="6">
        <v>11</v>
      </c>
      <c r="G46" s="6">
        <f>SUM(Table1[[#This Row],[گزارش های تایید شده ]],Table1[[#This Row],[گزارش های رد شده ]])</f>
        <v>24</v>
      </c>
      <c r="H46" s="6">
        <v>19</v>
      </c>
      <c r="I46" s="6">
        <v>5</v>
      </c>
    </row>
    <row r="47" spans="1:9">
      <c r="A47" s="6">
        <v>46</v>
      </c>
      <c r="B47" s="4" t="s">
        <v>84</v>
      </c>
      <c r="C47" s="6" t="s">
        <v>1</v>
      </c>
      <c r="D47" s="6" t="s">
        <v>445</v>
      </c>
      <c r="E47" s="8">
        <v>0.54166666666666663</v>
      </c>
      <c r="F47" s="6">
        <v>8</v>
      </c>
      <c r="G47" s="6">
        <f>SUM(Table1[[#This Row],[گزارش های تایید شده ]],Table1[[#This Row],[گزارش های رد شده ]])</f>
        <v>20</v>
      </c>
      <c r="H47" s="6">
        <v>18</v>
      </c>
      <c r="I47" s="6">
        <v>2</v>
      </c>
    </row>
    <row r="48" spans="1:9">
      <c r="A48" s="6">
        <v>47</v>
      </c>
      <c r="B48" s="4" t="s">
        <v>84</v>
      </c>
      <c r="C48" s="6" t="s">
        <v>0</v>
      </c>
      <c r="D48" s="6" t="s">
        <v>445</v>
      </c>
      <c r="E48" s="8">
        <v>0.83333333333333337</v>
      </c>
      <c r="F48" s="6">
        <v>14</v>
      </c>
      <c r="G48" s="6">
        <f>SUM(Table1[[#This Row],[گزارش های تایید شده ]],Table1[[#This Row],[گزارش های رد شده ]])</f>
        <v>18</v>
      </c>
      <c r="H48" s="6">
        <v>18</v>
      </c>
      <c r="I48" s="6">
        <v>0</v>
      </c>
    </row>
    <row r="49" spans="1:9">
      <c r="A49" s="6">
        <v>48</v>
      </c>
      <c r="B49" s="4" t="s">
        <v>84</v>
      </c>
      <c r="C49" s="6" t="s">
        <v>2</v>
      </c>
      <c r="D49" s="6" t="s">
        <v>446</v>
      </c>
      <c r="E49" s="8">
        <v>0.75</v>
      </c>
      <c r="F49" s="2">
        <v>12</v>
      </c>
      <c r="G49" s="6">
        <f>SUM(Table1[[#This Row],[گزارش های تایید شده ]],Table1[[#This Row],[گزارش های رد شده ]])</f>
        <v>24</v>
      </c>
      <c r="H49" s="6">
        <v>19</v>
      </c>
      <c r="I49" s="6">
        <v>5</v>
      </c>
    </row>
    <row r="50" spans="1:9">
      <c r="A50" s="6">
        <v>49</v>
      </c>
      <c r="B50" s="4" t="s">
        <v>85</v>
      </c>
      <c r="C50" s="6" t="s">
        <v>1</v>
      </c>
      <c r="D50" s="6" t="s">
        <v>445</v>
      </c>
      <c r="E50" s="8">
        <v>0.79166666666666663</v>
      </c>
      <c r="F50" s="6">
        <v>8</v>
      </c>
      <c r="G50" s="6">
        <f>SUM(Table1[[#This Row],[گزارش های تایید شده ]],Table1[[#This Row],[گزارش های رد شده ]])</f>
        <v>18</v>
      </c>
      <c r="H50" s="6">
        <v>17</v>
      </c>
      <c r="I50" s="6">
        <v>1</v>
      </c>
    </row>
    <row r="51" spans="1:9">
      <c r="A51" s="6">
        <v>50</v>
      </c>
      <c r="B51" s="4" t="s">
        <v>85</v>
      </c>
      <c r="C51" s="6" t="s">
        <v>0</v>
      </c>
      <c r="D51" s="6" t="s">
        <v>445</v>
      </c>
      <c r="E51" s="8">
        <v>0.54166666666666663</v>
      </c>
      <c r="F51" s="6">
        <v>15</v>
      </c>
      <c r="G51" s="6">
        <f>SUM(Table1[[#This Row],[گزارش های تایید شده ]],Table1[[#This Row],[گزارش های رد شده ]])</f>
        <v>22</v>
      </c>
      <c r="H51" s="6">
        <v>19</v>
      </c>
      <c r="I51" s="6">
        <v>3</v>
      </c>
    </row>
    <row r="52" spans="1:9">
      <c r="A52" s="6">
        <v>51</v>
      </c>
      <c r="B52" s="4" t="s">
        <v>85</v>
      </c>
      <c r="C52" s="6" t="s">
        <v>2</v>
      </c>
      <c r="D52" s="6" t="s">
        <v>446</v>
      </c>
      <c r="E52" s="8">
        <v>0.45833333333333331</v>
      </c>
      <c r="F52" s="6">
        <v>9</v>
      </c>
      <c r="G52" s="6">
        <f>SUM(Table1[[#This Row],[گزارش های تایید شده ]],Table1[[#This Row],[گزارش های رد شده ]])</f>
        <v>19</v>
      </c>
      <c r="H52" s="6">
        <v>19</v>
      </c>
      <c r="I52" s="6">
        <v>0</v>
      </c>
    </row>
    <row r="53" spans="1:9">
      <c r="A53" s="6">
        <v>52</v>
      </c>
      <c r="B53" s="4" t="s">
        <v>120</v>
      </c>
      <c r="C53" s="6" t="s">
        <v>1</v>
      </c>
      <c r="D53" s="6" t="s">
        <v>446</v>
      </c>
      <c r="E53" s="8">
        <v>0.54166666666666663</v>
      </c>
      <c r="F53" s="6">
        <v>14</v>
      </c>
      <c r="G53" s="6">
        <f>SUM(Table1[[#This Row],[گزارش های تایید شده ]],Table1[[#This Row],[گزارش های رد شده ]])</f>
        <v>19</v>
      </c>
      <c r="H53" s="6">
        <v>18</v>
      </c>
      <c r="I53" s="6">
        <v>1</v>
      </c>
    </row>
    <row r="54" spans="1:9">
      <c r="A54" s="6">
        <v>53</v>
      </c>
      <c r="B54" s="4" t="s">
        <v>121</v>
      </c>
      <c r="C54" s="6" t="s">
        <v>0</v>
      </c>
      <c r="D54" s="6" t="s">
        <v>446</v>
      </c>
      <c r="E54" s="8">
        <v>0.45833333333333331</v>
      </c>
      <c r="F54" s="6">
        <v>12</v>
      </c>
      <c r="G54" s="6">
        <f>SUM(Table1[[#This Row],[گزارش های تایید شده ]],Table1[[#This Row],[گزارش های رد شده ]])</f>
        <v>19</v>
      </c>
      <c r="H54" s="6">
        <v>19</v>
      </c>
      <c r="I54" s="6">
        <v>0</v>
      </c>
    </row>
    <row r="55" spans="1:9">
      <c r="A55" s="6">
        <v>54</v>
      </c>
      <c r="B55" s="4" t="s">
        <v>122</v>
      </c>
      <c r="C55" s="6" t="s">
        <v>2</v>
      </c>
      <c r="D55" s="6" t="s">
        <v>445</v>
      </c>
      <c r="E55" s="8">
        <v>0.45833333333333331</v>
      </c>
      <c r="F55" s="6">
        <v>9</v>
      </c>
      <c r="G55" s="6">
        <f>SUM(Table1[[#This Row],[گزارش های تایید شده ]],Table1[[#This Row],[گزارش های رد شده ]])</f>
        <v>24</v>
      </c>
      <c r="H55" s="6">
        <v>20</v>
      </c>
      <c r="I55" s="6">
        <v>4</v>
      </c>
    </row>
    <row r="56" spans="1:9">
      <c r="A56" s="6">
        <v>55</v>
      </c>
      <c r="B56" s="4" t="s">
        <v>123</v>
      </c>
      <c r="C56" s="6" t="s">
        <v>1</v>
      </c>
      <c r="D56" s="6" t="s">
        <v>445</v>
      </c>
      <c r="E56" s="8">
        <v>0.375</v>
      </c>
      <c r="F56" s="6">
        <v>11</v>
      </c>
      <c r="G56" s="6">
        <f>SUM(Table1[[#This Row],[گزارش های تایید شده ]],Table1[[#This Row],[گزارش های رد شده ]])</f>
        <v>21</v>
      </c>
      <c r="H56" s="6">
        <v>17</v>
      </c>
      <c r="I56" s="6">
        <v>4</v>
      </c>
    </row>
    <row r="57" spans="1:9">
      <c r="A57" s="6">
        <v>56</v>
      </c>
      <c r="B57" s="4" t="s">
        <v>124</v>
      </c>
      <c r="C57" s="6" t="s">
        <v>0</v>
      </c>
      <c r="D57" s="6" t="s">
        <v>446</v>
      </c>
      <c r="E57" s="8">
        <v>0.54166666666666663</v>
      </c>
      <c r="F57" s="6">
        <v>15</v>
      </c>
      <c r="G57" s="6">
        <f>SUM(Table1[[#This Row],[گزارش های تایید شده ]],Table1[[#This Row],[گزارش های رد شده ]])</f>
        <v>18</v>
      </c>
      <c r="H57" s="6">
        <v>18</v>
      </c>
      <c r="I57" s="6">
        <v>0</v>
      </c>
    </row>
    <row r="58" spans="1:9">
      <c r="A58" s="6">
        <v>57</v>
      </c>
      <c r="B58" s="4" t="s">
        <v>125</v>
      </c>
      <c r="C58" s="6" t="s">
        <v>2</v>
      </c>
      <c r="D58" s="6" t="s">
        <v>446</v>
      </c>
      <c r="E58" s="8">
        <v>0.83333333333333337</v>
      </c>
      <c r="F58" s="6">
        <v>15</v>
      </c>
      <c r="G58" s="6">
        <f>SUM(Table1[[#This Row],[گزارش های تایید شده ]],Table1[[#This Row],[گزارش های رد شده ]])</f>
        <v>18</v>
      </c>
      <c r="H58" s="6">
        <v>17</v>
      </c>
      <c r="I58" s="6">
        <v>1</v>
      </c>
    </row>
    <row r="59" spans="1:9">
      <c r="A59" s="6">
        <v>58</v>
      </c>
      <c r="B59" s="4" t="s">
        <v>126</v>
      </c>
      <c r="C59" s="6" t="s">
        <v>1</v>
      </c>
      <c r="D59" s="6" t="s">
        <v>445</v>
      </c>
      <c r="E59" s="8">
        <v>0.41666666666666669</v>
      </c>
      <c r="F59" s="6">
        <v>9</v>
      </c>
      <c r="G59" s="6">
        <f>SUM(Table1[[#This Row],[گزارش های تایید شده ]],Table1[[#This Row],[گزارش های رد شده ]])</f>
        <v>21</v>
      </c>
      <c r="H59" s="6">
        <v>20</v>
      </c>
      <c r="I59" s="6">
        <v>1</v>
      </c>
    </row>
    <row r="60" spans="1:9">
      <c r="A60" s="6">
        <v>59</v>
      </c>
      <c r="B60" s="4" t="s">
        <v>127</v>
      </c>
      <c r="C60" s="6" t="s">
        <v>0</v>
      </c>
      <c r="D60" s="6" t="s">
        <v>445</v>
      </c>
      <c r="E60" s="8">
        <v>0.58333333333333337</v>
      </c>
      <c r="F60" s="6">
        <v>12</v>
      </c>
      <c r="G60" s="6">
        <f>SUM(Table1[[#This Row],[گزارش های تایید شده ]],Table1[[#This Row],[گزارش های رد شده ]])</f>
        <v>21</v>
      </c>
      <c r="H60" s="6">
        <v>19</v>
      </c>
      <c r="I60" s="6">
        <v>2</v>
      </c>
    </row>
    <row r="61" spans="1:9">
      <c r="A61" s="6">
        <v>60</v>
      </c>
      <c r="B61" s="4" t="s">
        <v>128</v>
      </c>
      <c r="C61" s="6" t="s">
        <v>2</v>
      </c>
      <c r="D61" s="6" t="s">
        <v>446</v>
      </c>
      <c r="E61" s="8">
        <v>0.75</v>
      </c>
      <c r="F61" s="6">
        <v>14</v>
      </c>
      <c r="G61" s="6">
        <f>SUM(Table1[[#This Row],[گزارش های تایید شده ]],Table1[[#This Row],[گزارش های رد شده ]])</f>
        <v>20</v>
      </c>
      <c r="H61" s="6">
        <v>18</v>
      </c>
      <c r="I61" s="6">
        <v>2</v>
      </c>
    </row>
    <row r="62" spans="1:9">
      <c r="A62" s="6">
        <v>61</v>
      </c>
      <c r="B62" s="4" t="s">
        <v>129</v>
      </c>
      <c r="C62" s="6" t="s">
        <v>1</v>
      </c>
      <c r="D62" s="6" t="s">
        <v>445</v>
      </c>
      <c r="E62" s="8">
        <v>0.75</v>
      </c>
      <c r="F62" s="6">
        <v>15</v>
      </c>
      <c r="G62" s="6">
        <f>SUM(Table1[[#This Row],[گزارش های تایید شده ]],Table1[[#This Row],[گزارش های رد شده ]])</f>
        <v>21</v>
      </c>
      <c r="H62" s="6">
        <v>20</v>
      </c>
      <c r="I62" s="6">
        <v>1</v>
      </c>
    </row>
    <row r="63" spans="1:9">
      <c r="A63" s="6">
        <v>62</v>
      </c>
      <c r="B63" s="4" t="s">
        <v>130</v>
      </c>
      <c r="C63" s="6" t="s">
        <v>0</v>
      </c>
      <c r="D63" s="6" t="s">
        <v>446</v>
      </c>
      <c r="E63" s="8">
        <v>0.75</v>
      </c>
      <c r="F63" s="6">
        <v>14</v>
      </c>
      <c r="G63" s="6">
        <f>SUM(Table1[[#This Row],[گزارش های تایید شده ]],Table1[[#This Row],[گزارش های رد شده ]])</f>
        <v>23</v>
      </c>
      <c r="H63" s="6">
        <v>20</v>
      </c>
      <c r="I63" s="6">
        <v>3</v>
      </c>
    </row>
    <row r="64" spans="1:9">
      <c r="A64" s="6">
        <v>63</v>
      </c>
      <c r="B64" s="4" t="s">
        <v>131</v>
      </c>
      <c r="C64" s="6" t="s">
        <v>2</v>
      </c>
      <c r="D64" s="6" t="s">
        <v>446</v>
      </c>
      <c r="E64" s="8">
        <v>0.70833333333333337</v>
      </c>
      <c r="F64" s="6">
        <v>10</v>
      </c>
      <c r="G64" s="6">
        <f>SUM(Table1[[#This Row],[گزارش های تایید شده ]],Table1[[#This Row],[گزارش های رد شده ]])</f>
        <v>22</v>
      </c>
      <c r="H64" s="6">
        <v>18</v>
      </c>
      <c r="I64" s="6">
        <v>4</v>
      </c>
    </row>
    <row r="65" spans="1:9">
      <c r="A65" s="6">
        <v>64</v>
      </c>
      <c r="B65" s="4" t="s">
        <v>132</v>
      </c>
      <c r="C65" s="6" t="s">
        <v>1</v>
      </c>
      <c r="D65" s="6" t="s">
        <v>446</v>
      </c>
      <c r="E65" s="8">
        <v>0.45833333333333331</v>
      </c>
      <c r="F65" s="6">
        <v>12</v>
      </c>
      <c r="G65" s="6">
        <f>SUM(Table1[[#This Row],[گزارش های تایید شده ]],Table1[[#This Row],[گزارش های رد شده ]])</f>
        <v>25</v>
      </c>
      <c r="H65" s="6">
        <v>20</v>
      </c>
      <c r="I65" s="6">
        <v>5</v>
      </c>
    </row>
    <row r="66" spans="1:9">
      <c r="A66" s="6">
        <v>65</v>
      </c>
      <c r="B66" s="4" t="s">
        <v>133</v>
      </c>
      <c r="C66" s="6" t="s">
        <v>0</v>
      </c>
      <c r="D66" s="6" t="s">
        <v>446</v>
      </c>
      <c r="E66" s="8">
        <v>0.54166666666666663</v>
      </c>
      <c r="F66" s="6">
        <v>14</v>
      </c>
      <c r="G66" s="6">
        <f>SUM(Table1[[#This Row],[گزارش های تایید شده ]],Table1[[#This Row],[گزارش های رد شده ]])</f>
        <v>20</v>
      </c>
      <c r="H66" s="6">
        <v>17</v>
      </c>
      <c r="I66" s="6">
        <v>3</v>
      </c>
    </row>
    <row r="67" spans="1:9">
      <c r="A67" s="6">
        <v>66</v>
      </c>
      <c r="B67" s="4" t="s">
        <v>134</v>
      </c>
      <c r="C67" s="6" t="s">
        <v>2</v>
      </c>
      <c r="D67" s="6" t="s">
        <v>445</v>
      </c>
      <c r="E67" s="8">
        <v>0.83333333333333337</v>
      </c>
      <c r="F67" s="6">
        <v>11</v>
      </c>
      <c r="G67" s="6">
        <f>SUM(Table1[[#This Row],[گزارش های تایید شده ]],Table1[[#This Row],[گزارش های رد شده ]])</f>
        <v>25</v>
      </c>
      <c r="H67" s="6">
        <v>20</v>
      </c>
      <c r="I67" s="6">
        <v>5</v>
      </c>
    </row>
    <row r="68" spans="1:9">
      <c r="A68" s="6">
        <v>67</v>
      </c>
      <c r="B68" s="4" t="s">
        <v>135</v>
      </c>
      <c r="C68" s="6" t="s">
        <v>1</v>
      </c>
      <c r="D68" s="6" t="s">
        <v>446</v>
      </c>
      <c r="E68" s="8">
        <v>0.66666666666666663</v>
      </c>
      <c r="F68" s="6">
        <v>12</v>
      </c>
      <c r="G68" s="6">
        <f>SUM(Table1[[#This Row],[گزارش های تایید شده ]],Table1[[#This Row],[گزارش های رد شده ]])</f>
        <v>22</v>
      </c>
      <c r="H68" s="6">
        <v>19</v>
      </c>
      <c r="I68" s="6">
        <v>3</v>
      </c>
    </row>
    <row r="69" spans="1:9">
      <c r="A69" s="6">
        <v>68</v>
      </c>
      <c r="B69" s="4" t="s">
        <v>136</v>
      </c>
      <c r="C69" s="6" t="s">
        <v>0</v>
      </c>
      <c r="D69" s="6" t="s">
        <v>446</v>
      </c>
      <c r="E69" s="8">
        <v>0.375</v>
      </c>
      <c r="F69" s="6">
        <v>12</v>
      </c>
      <c r="G69" s="6">
        <f>SUM(Table1[[#This Row],[گزارش های تایید شده ]],Table1[[#This Row],[گزارش های رد شده ]])</f>
        <v>20</v>
      </c>
      <c r="H69" s="6">
        <v>18</v>
      </c>
      <c r="I69" s="6">
        <v>2</v>
      </c>
    </row>
    <row r="70" spans="1:9">
      <c r="A70" s="6">
        <v>69</v>
      </c>
      <c r="B70" s="4" t="s">
        <v>137</v>
      </c>
      <c r="C70" s="6" t="s">
        <v>2</v>
      </c>
      <c r="D70" s="6" t="s">
        <v>446</v>
      </c>
      <c r="E70" s="8">
        <v>0.66666666666666663</v>
      </c>
      <c r="F70" s="6">
        <v>9</v>
      </c>
      <c r="G70" s="6">
        <f>SUM(Table1[[#This Row],[گزارش های تایید شده ]],Table1[[#This Row],[گزارش های رد شده ]])</f>
        <v>21</v>
      </c>
      <c r="H70" s="6">
        <v>17</v>
      </c>
      <c r="I70" s="6">
        <v>4</v>
      </c>
    </row>
    <row r="71" spans="1:9">
      <c r="A71" s="6">
        <v>70</v>
      </c>
      <c r="B71" s="4" t="s">
        <v>138</v>
      </c>
      <c r="C71" s="6" t="s">
        <v>1</v>
      </c>
      <c r="D71" s="6" t="s">
        <v>445</v>
      </c>
      <c r="E71" s="8">
        <v>0.45833333333333331</v>
      </c>
      <c r="F71" s="6">
        <v>15</v>
      </c>
      <c r="G71" s="6">
        <f>SUM(Table1[[#This Row],[گزارش های تایید شده ]],Table1[[#This Row],[گزارش های رد شده ]])</f>
        <v>18</v>
      </c>
      <c r="H71" s="6">
        <v>18</v>
      </c>
      <c r="I71" s="6">
        <v>0</v>
      </c>
    </row>
    <row r="72" spans="1:9">
      <c r="A72" s="6">
        <v>71</v>
      </c>
      <c r="B72" s="4" t="s">
        <v>139</v>
      </c>
      <c r="C72" s="6" t="s">
        <v>0</v>
      </c>
      <c r="D72" s="6" t="s">
        <v>446</v>
      </c>
      <c r="E72" s="8">
        <v>0.41666666666666669</v>
      </c>
      <c r="F72" s="6">
        <v>10</v>
      </c>
      <c r="G72" s="6">
        <f>SUM(Table1[[#This Row],[گزارش های تایید شده ]],Table1[[#This Row],[گزارش های رد شده ]])</f>
        <v>19</v>
      </c>
      <c r="H72" s="6">
        <v>17</v>
      </c>
      <c r="I72" s="6">
        <v>2</v>
      </c>
    </row>
    <row r="73" spans="1:9">
      <c r="A73" s="6">
        <v>72</v>
      </c>
      <c r="B73" s="4" t="s">
        <v>140</v>
      </c>
      <c r="C73" s="6" t="s">
        <v>2</v>
      </c>
      <c r="D73" s="6" t="s">
        <v>446</v>
      </c>
      <c r="E73" s="8">
        <v>0.54166666666666663</v>
      </c>
      <c r="F73" s="6">
        <v>11</v>
      </c>
      <c r="G73" s="6">
        <f>SUM(Table1[[#This Row],[گزارش های تایید شده ]],Table1[[#This Row],[گزارش های رد شده ]])</f>
        <v>18</v>
      </c>
      <c r="H73" s="6">
        <v>18</v>
      </c>
      <c r="I73" s="6">
        <v>0</v>
      </c>
    </row>
    <row r="74" spans="1:9">
      <c r="A74" s="6">
        <v>73</v>
      </c>
      <c r="B74" s="4" t="s">
        <v>141</v>
      </c>
      <c r="C74" s="6" t="s">
        <v>1</v>
      </c>
      <c r="D74" s="6" t="s">
        <v>446</v>
      </c>
      <c r="E74" s="8">
        <v>0.45833333333333331</v>
      </c>
      <c r="F74" s="6">
        <v>15</v>
      </c>
      <c r="G74" s="6">
        <f>SUM(Table1[[#This Row],[گزارش های تایید شده ]],Table1[[#This Row],[گزارش های رد شده ]])</f>
        <v>22</v>
      </c>
      <c r="H74" s="6">
        <v>20</v>
      </c>
      <c r="I74" s="6">
        <v>2</v>
      </c>
    </row>
    <row r="75" spans="1:9">
      <c r="A75" s="6">
        <v>74</v>
      </c>
      <c r="B75" s="4" t="s">
        <v>142</v>
      </c>
      <c r="C75" s="6" t="s">
        <v>0</v>
      </c>
      <c r="D75" s="6" t="s">
        <v>445</v>
      </c>
      <c r="E75" s="8">
        <v>0.79166666666666663</v>
      </c>
      <c r="F75" s="6">
        <v>15</v>
      </c>
      <c r="G75" s="6">
        <f>SUM(Table1[[#This Row],[گزارش های تایید شده ]],Table1[[#This Row],[گزارش های رد شده ]])</f>
        <v>23</v>
      </c>
      <c r="H75" s="6">
        <v>19</v>
      </c>
      <c r="I75" s="6">
        <v>4</v>
      </c>
    </row>
    <row r="76" spans="1:9">
      <c r="A76" s="6">
        <v>75</v>
      </c>
      <c r="B76" s="4" t="s">
        <v>143</v>
      </c>
      <c r="C76" s="6" t="s">
        <v>2</v>
      </c>
      <c r="D76" s="6" t="s">
        <v>446</v>
      </c>
      <c r="E76" s="8">
        <v>0.33333333333333331</v>
      </c>
      <c r="F76" s="6">
        <v>10</v>
      </c>
      <c r="G76" s="6">
        <f>SUM(Table1[[#This Row],[گزارش های تایید شده ]],Table1[[#This Row],[گزارش های رد شده ]])</f>
        <v>22</v>
      </c>
      <c r="H76" s="6">
        <v>17</v>
      </c>
      <c r="I76" s="6">
        <v>5</v>
      </c>
    </row>
    <row r="77" spans="1:9">
      <c r="A77" s="6">
        <v>76</v>
      </c>
      <c r="B77" s="4" t="s">
        <v>144</v>
      </c>
      <c r="C77" s="6" t="s">
        <v>1</v>
      </c>
      <c r="D77" s="6" t="s">
        <v>446</v>
      </c>
      <c r="E77" s="8">
        <v>0.66666666666666663</v>
      </c>
      <c r="F77" s="6">
        <v>15</v>
      </c>
      <c r="G77" s="6">
        <f>SUM(Table1[[#This Row],[گزارش های تایید شده ]],Table1[[#This Row],[گزارش های رد شده ]])</f>
        <v>25</v>
      </c>
      <c r="H77" s="6">
        <v>20</v>
      </c>
      <c r="I77" s="6">
        <v>5</v>
      </c>
    </row>
    <row r="78" spans="1:9">
      <c r="A78" s="6">
        <v>77</v>
      </c>
      <c r="B78" s="4" t="s">
        <v>145</v>
      </c>
      <c r="C78" s="6" t="s">
        <v>0</v>
      </c>
      <c r="D78" s="6" t="s">
        <v>445</v>
      </c>
      <c r="E78" s="8">
        <v>0.79166666666666663</v>
      </c>
      <c r="F78" s="6">
        <v>8</v>
      </c>
      <c r="G78" s="6">
        <f>SUM(Table1[[#This Row],[گزارش های تایید شده ]],Table1[[#This Row],[گزارش های رد شده ]])</f>
        <v>22</v>
      </c>
      <c r="H78" s="6">
        <v>18</v>
      </c>
      <c r="I78" s="6">
        <v>4</v>
      </c>
    </row>
    <row r="79" spans="1:9">
      <c r="A79" s="6">
        <v>78</v>
      </c>
      <c r="B79" s="4" t="s">
        <v>146</v>
      </c>
      <c r="C79" s="6" t="s">
        <v>2</v>
      </c>
      <c r="D79" s="6" t="s">
        <v>446</v>
      </c>
      <c r="E79" s="8">
        <v>0.54166666666666663</v>
      </c>
      <c r="F79" s="6">
        <v>15</v>
      </c>
      <c r="G79" s="6">
        <f>SUM(Table1[[#This Row],[گزارش های تایید شده ]],Table1[[#This Row],[گزارش های رد شده ]])</f>
        <v>25</v>
      </c>
      <c r="H79" s="6">
        <v>20</v>
      </c>
      <c r="I79" s="6">
        <v>5</v>
      </c>
    </row>
    <row r="80" spans="1:9">
      <c r="A80" s="6">
        <v>79</v>
      </c>
      <c r="B80" s="4" t="s">
        <v>147</v>
      </c>
      <c r="C80" s="6" t="s">
        <v>1</v>
      </c>
      <c r="D80" s="6" t="s">
        <v>445</v>
      </c>
      <c r="E80" s="8">
        <v>0.83333333333333337</v>
      </c>
      <c r="F80" s="6">
        <v>9</v>
      </c>
      <c r="G80" s="6">
        <f>SUM(Table1[[#This Row],[گزارش های تایید شده ]],Table1[[#This Row],[گزارش های رد شده ]])</f>
        <v>21</v>
      </c>
      <c r="H80" s="6">
        <v>20</v>
      </c>
      <c r="I80" s="6">
        <v>1</v>
      </c>
    </row>
    <row r="81" spans="1:9">
      <c r="A81" s="6">
        <v>80</v>
      </c>
      <c r="B81" s="4" t="s">
        <v>148</v>
      </c>
      <c r="C81" s="6" t="s">
        <v>0</v>
      </c>
      <c r="D81" s="6" t="s">
        <v>446</v>
      </c>
      <c r="E81" s="8">
        <v>0.83333333333333337</v>
      </c>
      <c r="F81" s="6">
        <v>10</v>
      </c>
      <c r="G81" s="6">
        <f>SUM(Table1[[#This Row],[گزارش های تایید شده ]],Table1[[#This Row],[گزارش های رد شده ]])</f>
        <v>19</v>
      </c>
      <c r="H81" s="6">
        <v>17</v>
      </c>
      <c r="I81" s="6">
        <v>2</v>
      </c>
    </row>
    <row r="82" spans="1:9">
      <c r="A82" s="6">
        <v>81</v>
      </c>
      <c r="B82" s="4" t="s">
        <v>149</v>
      </c>
      <c r="C82" s="6" t="s">
        <v>2</v>
      </c>
      <c r="D82" s="6" t="s">
        <v>445</v>
      </c>
      <c r="E82" s="8">
        <v>0.5</v>
      </c>
      <c r="F82" s="6">
        <v>12</v>
      </c>
      <c r="G82" s="6">
        <f>SUM(Table1[[#This Row],[گزارش های تایید شده ]],Table1[[#This Row],[گزارش های رد شده ]])</f>
        <v>18</v>
      </c>
      <c r="H82" s="6">
        <v>17</v>
      </c>
      <c r="I82" s="6">
        <v>1</v>
      </c>
    </row>
    <row r="83" spans="1:9">
      <c r="A83" s="6">
        <v>82</v>
      </c>
      <c r="B83" s="4" t="s">
        <v>150</v>
      </c>
      <c r="C83" s="6" t="s">
        <v>1</v>
      </c>
      <c r="D83" s="6" t="s">
        <v>445</v>
      </c>
      <c r="E83" s="8">
        <v>0.375</v>
      </c>
      <c r="F83" s="6">
        <v>9</v>
      </c>
      <c r="G83" s="6">
        <f>SUM(Table1[[#This Row],[گزارش های تایید شده ]],Table1[[#This Row],[گزارش های رد شده ]])</f>
        <v>18</v>
      </c>
      <c r="H83" s="6">
        <v>17</v>
      </c>
      <c r="I83" s="6">
        <v>1</v>
      </c>
    </row>
    <row r="84" spans="1:9">
      <c r="A84" s="6">
        <v>83</v>
      </c>
      <c r="B84" s="4" t="s">
        <v>151</v>
      </c>
      <c r="C84" s="6" t="s">
        <v>0</v>
      </c>
      <c r="D84" s="6" t="s">
        <v>446</v>
      </c>
      <c r="E84" s="8">
        <v>0.625</v>
      </c>
      <c r="F84" s="6">
        <v>12</v>
      </c>
      <c r="G84" s="6">
        <f>SUM(Table1[[#This Row],[گزارش های تایید شده ]],Table1[[#This Row],[گزارش های رد شده ]])</f>
        <v>24</v>
      </c>
      <c r="H84" s="6">
        <v>19</v>
      </c>
      <c r="I84" s="6">
        <v>5</v>
      </c>
    </row>
    <row r="85" spans="1:9">
      <c r="A85" s="6">
        <v>84</v>
      </c>
      <c r="B85" s="4" t="s">
        <v>152</v>
      </c>
      <c r="C85" s="6" t="s">
        <v>2</v>
      </c>
      <c r="D85" s="6" t="s">
        <v>445</v>
      </c>
      <c r="E85" s="8">
        <v>0.54166666666666663</v>
      </c>
      <c r="F85" s="6">
        <v>13</v>
      </c>
      <c r="G85" s="6">
        <f>SUM(Table1[[#This Row],[گزارش های تایید شده ]],Table1[[#This Row],[گزارش های رد شده ]])</f>
        <v>22</v>
      </c>
      <c r="H85" s="6">
        <v>17</v>
      </c>
      <c r="I85" s="6">
        <v>5</v>
      </c>
    </row>
    <row r="86" spans="1:9">
      <c r="A86" s="6">
        <v>85</v>
      </c>
      <c r="B86" s="4" t="s">
        <v>153</v>
      </c>
      <c r="C86" s="6" t="s">
        <v>1</v>
      </c>
      <c r="D86" s="6" t="s">
        <v>445</v>
      </c>
      <c r="E86" s="8">
        <v>0.45833333333333331</v>
      </c>
      <c r="F86" s="6">
        <v>8</v>
      </c>
      <c r="G86" s="6">
        <f>SUM(Table1[[#This Row],[گزارش های تایید شده ]],Table1[[#This Row],[گزارش های رد شده ]])</f>
        <v>20</v>
      </c>
      <c r="H86" s="6">
        <v>20</v>
      </c>
      <c r="I86" s="6">
        <v>0</v>
      </c>
    </row>
    <row r="87" spans="1:9">
      <c r="A87" s="6">
        <v>86</v>
      </c>
      <c r="B87" s="4" t="s">
        <v>154</v>
      </c>
      <c r="C87" s="6" t="s">
        <v>0</v>
      </c>
      <c r="D87" s="6" t="s">
        <v>446</v>
      </c>
      <c r="E87" s="8">
        <v>0.41666666666666669</v>
      </c>
      <c r="F87" s="6">
        <v>11</v>
      </c>
      <c r="G87" s="6">
        <f>SUM(Table1[[#This Row],[گزارش های تایید شده ]],Table1[[#This Row],[گزارش های رد شده ]])</f>
        <v>19</v>
      </c>
      <c r="H87" s="6">
        <v>17</v>
      </c>
      <c r="I87" s="6">
        <v>2</v>
      </c>
    </row>
    <row r="88" spans="1:9">
      <c r="A88" s="6">
        <v>87</v>
      </c>
      <c r="B88" s="4" t="s">
        <v>155</v>
      </c>
      <c r="C88" s="6" t="s">
        <v>2</v>
      </c>
      <c r="D88" s="6" t="s">
        <v>446</v>
      </c>
      <c r="E88" s="8">
        <v>0.5</v>
      </c>
      <c r="F88" s="6">
        <v>9</v>
      </c>
      <c r="G88" s="6">
        <f>SUM(Table1[[#This Row],[گزارش های تایید شده ]],Table1[[#This Row],[گزارش های رد شده ]])</f>
        <v>18</v>
      </c>
      <c r="H88" s="6">
        <v>18</v>
      </c>
      <c r="I88" s="6">
        <v>0</v>
      </c>
    </row>
    <row r="89" spans="1:9">
      <c r="A89" s="6">
        <v>88</v>
      </c>
      <c r="B89" s="4" t="s">
        <v>156</v>
      </c>
      <c r="C89" s="6" t="s">
        <v>1</v>
      </c>
      <c r="D89" s="6" t="s">
        <v>446</v>
      </c>
      <c r="E89" s="8">
        <v>0.375</v>
      </c>
      <c r="F89" s="6">
        <v>9</v>
      </c>
      <c r="G89" s="6">
        <f>SUM(Table1[[#This Row],[گزارش های تایید شده ]],Table1[[#This Row],[گزارش های رد شده ]])</f>
        <v>21</v>
      </c>
      <c r="H89" s="6">
        <v>19</v>
      </c>
      <c r="I89" s="6">
        <v>2</v>
      </c>
    </row>
    <row r="90" spans="1:9">
      <c r="A90" s="6">
        <v>89</v>
      </c>
      <c r="B90" s="4" t="s">
        <v>157</v>
      </c>
      <c r="C90" s="6" t="s">
        <v>0</v>
      </c>
      <c r="D90" s="6" t="s">
        <v>445</v>
      </c>
      <c r="E90" s="8">
        <v>0.83333333333333337</v>
      </c>
      <c r="F90" s="6">
        <v>15</v>
      </c>
      <c r="G90" s="6">
        <f>SUM(Table1[[#This Row],[گزارش های تایید شده ]],Table1[[#This Row],[گزارش های رد شده ]])</f>
        <v>22</v>
      </c>
      <c r="H90" s="6">
        <v>18</v>
      </c>
      <c r="I90" s="6">
        <v>4</v>
      </c>
    </row>
    <row r="91" spans="1:9">
      <c r="A91" s="6">
        <v>90</v>
      </c>
      <c r="B91" s="4" t="s">
        <v>158</v>
      </c>
      <c r="C91" s="6" t="s">
        <v>2</v>
      </c>
      <c r="D91" s="6" t="s">
        <v>446</v>
      </c>
      <c r="E91" s="8">
        <v>0.375</v>
      </c>
      <c r="F91" s="6">
        <v>9</v>
      </c>
      <c r="G91" s="6">
        <f>SUM(Table1[[#This Row],[گزارش های تایید شده ]],Table1[[#This Row],[گزارش های رد شده ]])</f>
        <v>23</v>
      </c>
      <c r="H91" s="6">
        <v>20</v>
      </c>
      <c r="I91" s="6">
        <v>3</v>
      </c>
    </row>
    <row r="92" spans="1:9">
      <c r="A92" s="6">
        <v>91</v>
      </c>
      <c r="B92" s="4" t="s">
        <v>159</v>
      </c>
      <c r="C92" s="6" t="s">
        <v>1</v>
      </c>
      <c r="D92" s="6" t="s">
        <v>446</v>
      </c>
      <c r="E92" s="8">
        <v>0.375</v>
      </c>
      <c r="F92" s="6">
        <v>12</v>
      </c>
      <c r="G92" s="6">
        <f>SUM(Table1[[#This Row],[گزارش های تایید شده ]],Table1[[#This Row],[گزارش های رد شده ]])</f>
        <v>22</v>
      </c>
      <c r="H92" s="6">
        <v>18</v>
      </c>
      <c r="I92" s="6">
        <v>4</v>
      </c>
    </row>
    <row r="93" spans="1:9">
      <c r="A93" s="6">
        <v>92</v>
      </c>
      <c r="B93" s="4" t="s">
        <v>160</v>
      </c>
      <c r="C93" s="6" t="s">
        <v>0</v>
      </c>
      <c r="D93" s="6" t="s">
        <v>445</v>
      </c>
      <c r="E93" s="8">
        <v>0.5</v>
      </c>
      <c r="F93" s="6">
        <v>9</v>
      </c>
      <c r="G93" s="6">
        <f>SUM(Table1[[#This Row],[گزارش های تایید شده ]],Table1[[#This Row],[گزارش های رد شده ]])</f>
        <v>22</v>
      </c>
      <c r="H93" s="6">
        <v>20</v>
      </c>
      <c r="I93" s="6">
        <v>2</v>
      </c>
    </row>
    <row r="94" spans="1:9">
      <c r="A94" s="6">
        <v>93</v>
      </c>
      <c r="B94" s="4" t="s">
        <v>161</v>
      </c>
      <c r="C94" s="6" t="s">
        <v>2</v>
      </c>
      <c r="D94" s="6" t="s">
        <v>446</v>
      </c>
      <c r="E94" s="8">
        <v>0.45833333333333331</v>
      </c>
      <c r="F94" s="6">
        <v>13</v>
      </c>
      <c r="G94" s="6">
        <f>SUM(Table1[[#This Row],[گزارش های تایید شده ]],Table1[[#This Row],[گزارش های رد شده ]])</f>
        <v>21</v>
      </c>
      <c r="H94" s="6">
        <v>20</v>
      </c>
      <c r="I94" s="6">
        <v>1</v>
      </c>
    </row>
    <row r="95" spans="1:9">
      <c r="A95" s="6">
        <v>94</v>
      </c>
      <c r="B95" s="4" t="s">
        <v>162</v>
      </c>
      <c r="C95" s="6" t="s">
        <v>1</v>
      </c>
      <c r="D95" s="6" t="s">
        <v>446</v>
      </c>
      <c r="E95" s="8">
        <v>0.54166666666666663</v>
      </c>
      <c r="F95" s="6">
        <v>12</v>
      </c>
      <c r="G95" s="6">
        <f>SUM(Table1[[#This Row],[گزارش های تایید شده ]],Table1[[#This Row],[گزارش های رد شده ]])</f>
        <v>25</v>
      </c>
      <c r="H95" s="6">
        <v>20</v>
      </c>
      <c r="I95" s="6">
        <v>5</v>
      </c>
    </row>
    <row r="96" spans="1:9">
      <c r="A96" s="6">
        <v>95</v>
      </c>
      <c r="B96" s="4" t="s">
        <v>163</v>
      </c>
      <c r="C96" s="6" t="s">
        <v>0</v>
      </c>
      <c r="D96" s="6" t="s">
        <v>446</v>
      </c>
      <c r="E96" s="8">
        <v>0.79166666666666663</v>
      </c>
      <c r="F96" s="6">
        <v>13</v>
      </c>
      <c r="G96" s="6">
        <f>SUM(Table1[[#This Row],[گزارش های تایید شده ]],Table1[[#This Row],[گزارش های رد شده ]])</f>
        <v>19</v>
      </c>
      <c r="H96" s="6">
        <v>18</v>
      </c>
      <c r="I96" s="6">
        <v>1</v>
      </c>
    </row>
    <row r="97" spans="1:9">
      <c r="A97" s="6">
        <v>96</v>
      </c>
      <c r="B97" s="4" t="s">
        <v>164</v>
      </c>
      <c r="C97" s="6" t="s">
        <v>2</v>
      </c>
      <c r="D97" s="6" t="s">
        <v>445</v>
      </c>
      <c r="E97" s="8">
        <v>0.33333333333333331</v>
      </c>
      <c r="F97" s="6">
        <v>10</v>
      </c>
      <c r="G97" s="6">
        <f>SUM(Table1[[#This Row],[گزارش های تایید شده ]],Table1[[#This Row],[گزارش های رد شده ]])</f>
        <v>22</v>
      </c>
      <c r="H97" s="6">
        <v>20</v>
      </c>
      <c r="I97" s="6">
        <v>2</v>
      </c>
    </row>
    <row r="98" spans="1:9">
      <c r="A98" s="6">
        <v>97</v>
      </c>
      <c r="B98" s="4" t="s">
        <v>165</v>
      </c>
      <c r="C98" s="6" t="s">
        <v>1</v>
      </c>
      <c r="D98" s="6" t="s">
        <v>445</v>
      </c>
      <c r="E98" s="8">
        <v>0.625</v>
      </c>
      <c r="F98" s="6">
        <v>8</v>
      </c>
      <c r="G98" s="6">
        <f>SUM(Table1[[#This Row],[گزارش های تایید شده ]],Table1[[#This Row],[گزارش های رد شده ]])</f>
        <v>22</v>
      </c>
      <c r="H98" s="6">
        <v>19</v>
      </c>
      <c r="I98" s="6">
        <v>3</v>
      </c>
    </row>
    <row r="99" spans="1:9">
      <c r="A99" s="6">
        <v>98</v>
      </c>
      <c r="B99" s="4" t="s">
        <v>166</v>
      </c>
      <c r="C99" s="6" t="s">
        <v>0</v>
      </c>
      <c r="D99" s="6" t="s">
        <v>445</v>
      </c>
      <c r="E99" s="8">
        <v>0.41666666666666669</v>
      </c>
      <c r="F99" s="6">
        <v>15</v>
      </c>
      <c r="G99" s="6">
        <f>SUM(Table1[[#This Row],[گزارش های تایید شده ]],Table1[[#This Row],[گزارش های رد شده ]])</f>
        <v>17</v>
      </c>
      <c r="H99" s="6">
        <v>17</v>
      </c>
      <c r="I99" s="6">
        <v>0</v>
      </c>
    </row>
    <row r="100" spans="1:9">
      <c r="A100" s="6">
        <v>99</v>
      </c>
      <c r="B100" s="4" t="s">
        <v>167</v>
      </c>
      <c r="C100" s="6" t="s">
        <v>2</v>
      </c>
      <c r="D100" s="6" t="s">
        <v>445</v>
      </c>
      <c r="E100" s="8">
        <v>0.79166666666666663</v>
      </c>
      <c r="F100" s="6">
        <v>11</v>
      </c>
      <c r="G100" s="6">
        <f>SUM(Table1[[#This Row],[گزارش های تایید شده ]],Table1[[#This Row],[گزارش های رد شده ]])</f>
        <v>23</v>
      </c>
      <c r="H100" s="6">
        <v>19</v>
      </c>
      <c r="I100" s="6">
        <v>4</v>
      </c>
    </row>
    <row r="101" spans="1:9">
      <c r="A101" s="6">
        <v>100</v>
      </c>
      <c r="B101" s="4" t="s">
        <v>168</v>
      </c>
      <c r="C101" s="6" t="s">
        <v>1</v>
      </c>
      <c r="D101" s="6" t="s">
        <v>446</v>
      </c>
      <c r="E101" s="8">
        <v>0.83333333333333337</v>
      </c>
      <c r="F101" s="6">
        <v>11</v>
      </c>
      <c r="G101" s="6">
        <f>SUM(Table1[[#This Row],[گزارش های تایید شده ]],Table1[[#This Row],[گزارش های رد شده ]])</f>
        <v>23</v>
      </c>
      <c r="H101" s="6">
        <v>19</v>
      </c>
      <c r="I101" s="6">
        <v>4</v>
      </c>
    </row>
    <row r="102" spans="1:9">
      <c r="A102" s="6">
        <v>101</v>
      </c>
      <c r="B102" s="4" t="s">
        <v>169</v>
      </c>
      <c r="C102" s="6" t="s">
        <v>0</v>
      </c>
      <c r="D102" s="6" t="s">
        <v>446</v>
      </c>
      <c r="E102" s="8">
        <v>0.83333333333333337</v>
      </c>
      <c r="F102" s="6">
        <v>13</v>
      </c>
      <c r="G102" s="6">
        <f>SUM(Table1[[#This Row],[گزارش های تایید شده ]],Table1[[#This Row],[گزارش های رد شده ]])</f>
        <v>21</v>
      </c>
      <c r="H102" s="6">
        <v>20</v>
      </c>
      <c r="I102" s="6">
        <v>1</v>
      </c>
    </row>
    <row r="103" spans="1:9">
      <c r="A103" s="6">
        <v>102</v>
      </c>
      <c r="B103" s="4" t="s">
        <v>170</v>
      </c>
      <c r="C103" s="6" t="s">
        <v>2</v>
      </c>
      <c r="D103" s="6" t="s">
        <v>446</v>
      </c>
      <c r="E103" s="8">
        <v>0.58333333333333337</v>
      </c>
      <c r="F103" s="6">
        <v>14</v>
      </c>
      <c r="G103" s="6">
        <f>SUM(Table1[[#This Row],[گزارش های تایید شده ]],Table1[[#This Row],[گزارش های رد شده ]])</f>
        <v>21</v>
      </c>
      <c r="H103" s="6">
        <v>19</v>
      </c>
      <c r="I103" s="6">
        <v>2</v>
      </c>
    </row>
    <row r="104" spans="1:9">
      <c r="A104" s="6">
        <v>103</v>
      </c>
      <c r="B104" s="4" t="s">
        <v>171</v>
      </c>
      <c r="C104" s="6" t="s">
        <v>1</v>
      </c>
      <c r="D104" s="6" t="s">
        <v>445</v>
      </c>
      <c r="E104" s="8">
        <v>0.54166666666666663</v>
      </c>
      <c r="F104" s="6">
        <v>15</v>
      </c>
      <c r="G104" s="6">
        <f>SUM(Table1[[#This Row],[گزارش های تایید شده ]],Table1[[#This Row],[گزارش های رد شده ]])</f>
        <v>19</v>
      </c>
      <c r="H104" s="6">
        <v>19</v>
      </c>
      <c r="I104" s="6">
        <v>0</v>
      </c>
    </row>
    <row r="105" spans="1:9">
      <c r="A105" s="6">
        <v>104</v>
      </c>
      <c r="B105" s="4" t="s">
        <v>172</v>
      </c>
      <c r="C105" s="6" t="s">
        <v>0</v>
      </c>
      <c r="D105" s="6" t="s">
        <v>446</v>
      </c>
      <c r="E105" s="8">
        <v>0.83333333333333337</v>
      </c>
      <c r="F105" s="6">
        <v>12</v>
      </c>
      <c r="G105" s="6">
        <f>SUM(Table1[[#This Row],[گزارش های تایید شده ]],Table1[[#This Row],[گزارش های رد شده ]])</f>
        <v>20</v>
      </c>
      <c r="H105" s="6">
        <v>18</v>
      </c>
      <c r="I105" s="6">
        <v>2</v>
      </c>
    </row>
    <row r="106" spans="1:9">
      <c r="A106" s="6">
        <v>105</v>
      </c>
      <c r="B106" s="4" t="s">
        <v>173</v>
      </c>
      <c r="C106" s="6" t="s">
        <v>2</v>
      </c>
      <c r="D106" s="6" t="s">
        <v>446</v>
      </c>
      <c r="E106" s="8">
        <v>0.70833333333333337</v>
      </c>
      <c r="F106" s="6">
        <v>11</v>
      </c>
      <c r="G106" s="6">
        <f>SUM(Table1[[#This Row],[گزارش های تایید شده ]],Table1[[#This Row],[گزارش های رد شده ]])</f>
        <v>20</v>
      </c>
      <c r="H106" s="6">
        <v>17</v>
      </c>
      <c r="I106" s="6">
        <v>3</v>
      </c>
    </row>
    <row r="107" spans="1:9">
      <c r="A107" s="6">
        <v>106</v>
      </c>
      <c r="B107" s="4" t="s">
        <v>174</v>
      </c>
      <c r="C107" s="6" t="s">
        <v>1</v>
      </c>
      <c r="D107" s="6" t="s">
        <v>445</v>
      </c>
      <c r="E107" s="8">
        <v>0.66666666666666663</v>
      </c>
      <c r="F107" s="6">
        <v>8</v>
      </c>
      <c r="G107" s="6">
        <f>SUM(Table1[[#This Row],[گزارش های تایید شده ]],Table1[[#This Row],[گزارش های رد شده ]])</f>
        <v>18</v>
      </c>
      <c r="H107" s="6">
        <v>17</v>
      </c>
      <c r="I107" s="6">
        <v>1</v>
      </c>
    </row>
    <row r="108" spans="1:9">
      <c r="A108" s="6">
        <v>107</v>
      </c>
      <c r="B108" s="4" t="s">
        <v>175</v>
      </c>
      <c r="C108" s="6" t="s">
        <v>0</v>
      </c>
      <c r="D108" s="6" t="s">
        <v>446</v>
      </c>
      <c r="E108" s="8">
        <v>0.83333333333333337</v>
      </c>
      <c r="F108" s="6">
        <v>13</v>
      </c>
      <c r="G108" s="6">
        <f>SUM(Table1[[#This Row],[گزارش های تایید شده ]],Table1[[#This Row],[گزارش های رد شده ]])</f>
        <v>21</v>
      </c>
      <c r="H108" s="6">
        <v>18</v>
      </c>
      <c r="I108" s="6">
        <v>3</v>
      </c>
    </row>
    <row r="109" spans="1:9">
      <c r="A109" s="6">
        <v>108</v>
      </c>
      <c r="B109" s="4" t="s">
        <v>176</v>
      </c>
      <c r="C109" s="6" t="s">
        <v>2</v>
      </c>
      <c r="D109" s="6" t="s">
        <v>446</v>
      </c>
      <c r="E109" s="8">
        <v>0.58333333333333337</v>
      </c>
      <c r="F109" s="6">
        <v>11</v>
      </c>
      <c r="G109" s="6">
        <f>SUM(Table1[[#This Row],[گزارش های تایید شده ]],Table1[[#This Row],[گزارش های رد شده ]])</f>
        <v>22</v>
      </c>
      <c r="H109" s="6">
        <v>20</v>
      </c>
      <c r="I109" s="6">
        <v>2</v>
      </c>
    </row>
    <row r="110" spans="1:9">
      <c r="A110" s="6">
        <v>109</v>
      </c>
      <c r="B110" s="4" t="s">
        <v>177</v>
      </c>
      <c r="C110" s="6" t="s">
        <v>1</v>
      </c>
      <c r="D110" s="6" t="s">
        <v>446</v>
      </c>
      <c r="E110" s="8">
        <v>0.58333333333333337</v>
      </c>
      <c r="F110" s="6">
        <v>11</v>
      </c>
      <c r="G110" s="6">
        <f>SUM(Table1[[#This Row],[گزارش های تایید شده ]],Table1[[#This Row],[گزارش های رد شده ]])</f>
        <v>23</v>
      </c>
      <c r="H110" s="6">
        <v>19</v>
      </c>
      <c r="I110" s="6">
        <v>4</v>
      </c>
    </row>
    <row r="111" spans="1:9">
      <c r="A111" s="6">
        <v>110</v>
      </c>
      <c r="B111" s="4" t="s">
        <v>178</v>
      </c>
      <c r="C111" s="6" t="s">
        <v>0</v>
      </c>
      <c r="D111" s="6" t="s">
        <v>446</v>
      </c>
      <c r="E111" s="8">
        <v>0.66666666666666663</v>
      </c>
      <c r="F111" s="6">
        <v>9</v>
      </c>
      <c r="G111" s="6">
        <f>SUM(Table1[[#This Row],[گزارش های تایید شده ]],Table1[[#This Row],[گزارش های رد شده ]])</f>
        <v>23</v>
      </c>
      <c r="H111" s="6">
        <v>20</v>
      </c>
      <c r="I111" s="6">
        <v>3</v>
      </c>
    </row>
    <row r="112" spans="1:9">
      <c r="A112" s="6">
        <v>111</v>
      </c>
      <c r="B112" s="4" t="s">
        <v>179</v>
      </c>
      <c r="C112" s="6" t="s">
        <v>2</v>
      </c>
      <c r="D112" s="6" t="s">
        <v>445</v>
      </c>
      <c r="E112" s="8">
        <v>0.45833333333333331</v>
      </c>
      <c r="F112" s="6">
        <v>8</v>
      </c>
      <c r="G112" s="6">
        <f>SUM(Table1[[#This Row],[گزارش های تایید شده ]],Table1[[#This Row],[گزارش های رد شده ]])</f>
        <v>22</v>
      </c>
      <c r="H112" s="6">
        <v>19</v>
      </c>
      <c r="I112" s="6">
        <v>3</v>
      </c>
    </row>
    <row r="113" spans="1:9">
      <c r="A113" s="6">
        <v>112</v>
      </c>
      <c r="B113" s="4" t="s">
        <v>180</v>
      </c>
      <c r="C113" s="6" t="s">
        <v>1</v>
      </c>
      <c r="D113" s="6" t="s">
        <v>446</v>
      </c>
      <c r="E113" s="8">
        <v>0.375</v>
      </c>
      <c r="F113" s="6">
        <v>13</v>
      </c>
      <c r="G113" s="6">
        <f>SUM(Table1[[#This Row],[گزارش های تایید شده ]],Table1[[#This Row],[گزارش های رد شده ]])</f>
        <v>18</v>
      </c>
      <c r="H113" s="6">
        <v>17</v>
      </c>
      <c r="I113" s="6">
        <v>1</v>
      </c>
    </row>
    <row r="114" spans="1:9">
      <c r="A114" s="6">
        <v>113</v>
      </c>
      <c r="B114" s="4" t="s">
        <v>181</v>
      </c>
      <c r="C114" s="6" t="s">
        <v>0</v>
      </c>
      <c r="D114" s="6" t="s">
        <v>445</v>
      </c>
      <c r="E114" s="8">
        <v>0.70833333333333337</v>
      </c>
      <c r="F114" s="6">
        <v>8</v>
      </c>
      <c r="G114" s="6">
        <f>SUM(Table1[[#This Row],[گزارش های تایید شده ]],Table1[[#This Row],[گزارش های رد شده ]])</f>
        <v>20</v>
      </c>
      <c r="H114" s="6">
        <v>18</v>
      </c>
      <c r="I114" s="6">
        <v>2</v>
      </c>
    </row>
    <row r="115" spans="1:9">
      <c r="A115" s="6">
        <v>114</v>
      </c>
      <c r="B115" s="4" t="s">
        <v>182</v>
      </c>
      <c r="C115" s="6" t="s">
        <v>2</v>
      </c>
      <c r="D115" s="6" t="s">
        <v>446</v>
      </c>
      <c r="E115" s="8">
        <v>0.625</v>
      </c>
      <c r="F115" s="6">
        <v>14</v>
      </c>
      <c r="G115" s="6">
        <f>SUM(Table1[[#This Row],[گزارش های تایید شده ]],Table1[[#This Row],[گزارش های رد شده ]])</f>
        <v>24</v>
      </c>
      <c r="H115" s="6">
        <v>19</v>
      </c>
      <c r="I115" s="6">
        <v>5</v>
      </c>
    </row>
    <row r="116" spans="1:9">
      <c r="A116" s="6">
        <v>115</v>
      </c>
      <c r="B116" s="4" t="s">
        <v>183</v>
      </c>
      <c r="C116" s="6" t="s">
        <v>1</v>
      </c>
      <c r="D116" s="6" t="s">
        <v>446</v>
      </c>
      <c r="E116" s="8">
        <v>0.33333333333333331</v>
      </c>
      <c r="F116" s="6">
        <v>11</v>
      </c>
      <c r="G116" s="6">
        <f>SUM(Table1[[#This Row],[گزارش های تایید شده ]],Table1[[#This Row],[گزارش های رد شده ]])</f>
        <v>19</v>
      </c>
      <c r="H116" s="6">
        <v>19</v>
      </c>
      <c r="I116" s="6">
        <v>0</v>
      </c>
    </row>
    <row r="117" spans="1:9">
      <c r="A117" s="6">
        <v>116</v>
      </c>
      <c r="B117" s="4" t="s">
        <v>184</v>
      </c>
      <c r="C117" s="6" t="s">
        <v>0</v>
      </c>
      <c r="D117" s="6" t="s">
        <v>445</v>
      </c>
      <c r="E117" s="8">
        <v>0.70833333333333337</v>
      </c>
      <c r="F117" s="6">
        <v>8</v>
      </c>
      <c r="G117" s="6">
        <f>SUM(Table1[[#This Row],[گزارش های تایید شده ]],Table1[[#This Row],[گزارش های رد شده ]])</f>
        <v>22</v>
      </c>
      <c r="H117" s="6">
        <v>18</v>
      </c>
      <c r="I117" s="6">
        <v>4</v>
      </c>
    </row>
    <row r="118" spans="1:9">
      <c r="A118" s="6">
        <v>117</v>
      </c>
      <c r="B118" s="4" t="s">
        <v>185</v>
      </c>
      <c r="C118" s="6" t="s">
        <v>2</v>
      </c>
      <c r="D118" s="6" t="s">
        <v>445</v>
      </c>
      <c r="E118" s="8">
        <v>0.33333333333333331</v>
      </c>
      <c r="F118" s="6">
        <v>9</v>
      </c>
      <c r="G118" s="6">
        <f>SUM(Table1[[#This Row],[گزارش های تایید شده ]],Table1[[#This Row],[گزارش های رد شده ]])</f>
        <v>17</v>
      </c>
      <c r="H118" s="6">
        <v>17</v>
      </c>
      <c r="I118" s="6">
        <v>0</v>
      </c>
    </row>
    <row r="119" spans="1:9">
      <c r="A119" s="6">
        <v>118</v>
      </c>
      <c r="B119" s="4" t="s">
        <v>186</v>
      </c>
      <c r="C119" s="6" t="s">
        <v>1</v>
      </c>
      <c r="D119" s="6" t="s">
        <v>446</v>
      </c>
      <c r="E119" s="8">
        <v>0.33333333333333331</v>
      </c>
      <c r="F119" s="6">
        <v>15</v>
      </c>
      <c r="G119" s="6">
        <f>SUM(Table1[[#This Row],[گزارش های تایید شده ]],Table1[[#This Row],[گزارش های رد شده ]])</f>
        <v>21</v>
      </c>
      <c r="H119" s="6">
        <v>18</v>
      </c>
      <c r="I119" s="6">
        <v>3</v>
      </c>
    </row>
    <row r="120" spans="1:9">
      <c r="A120" s="6">
        <v>119</v>
      </c>
      <c r="B120" s="4" t="s">
        <v>187</v>
      </c>
      <c r="C120" s="6" t="s">
        <v>0</v>
      </c>
      <c r="D120" s="6" t="s">
        <v>446</v>
      </c>
      <c r="E120" s="8">
        <v>0.625</v>
      </c>
      <c r="F120" s="6">
        <v>10</v>
      </c>
      <c r="G120" s="6">
        <f>SUM(Table1[[#This Row],[گزارش های تایید شده ]],Table1[[#This Row],[گزارش های رد شده ]])</f>
        <v>22</v>
      </c>
      <c r="H120" s="6">
        <v>17</v>
      </c>
      <c r="I120" s="6">
        <v>5</v>
      </c>
    </row>
    <row r="121" spans="1:9">
      <c r="A121" s="6">
        <v>120</v>
      </c>
      <c r="B121" s="4" t="s">
        <v>188</v>
      </c>
      <c r="C121" s="6" t="s">
        <v>2</v>
      </c>
      <c r="D121" s="6" t="s">
        <v>446</v>
      </c>
      <c r="E121" s="8">
        <v>0.83333333333333337</v>
      </c>
      <c r="F121" s="6">
        <v>9</v>
      </c>
      <c r="G121" s="6">
        <f>SUM(Table1[[#This Row],[گزارش های تایید شده ]],Table1[[#This Row],[گزارش های رد شده ]])</f>
        <v>19</v>
      </c>
      <c r="H121" s="6">
        <v>18</v>
      </c>
      <c r="I121" s="6">
        <v>1</v>
      </c>
    </row>
    <row r="122" spans="1:9">
      <c r="A122" s="6">
        <v>121</v>
      </c>
      <c r="B122" s="4" t="s">
        <v>189</v>
      </c>
      <c r="C122" s="6" t="s">
        <v>1</v>
      </c>
      <c r="D122" s="6" t="s">
        <v>445</v>
      </c>
      <c r="E122" s="8">
        <v>0.79166666666666663</v>
      </c>
      <c r="F122" s="6">
        <v>11</v>
      </c>
      <c r="G122" s="6">
        <f>SUM(Table1[[#This Row],[گزارش های تایید شده ]],Table1[[#This Row],[گزارش های رد شده ]])</f>
        <v>23</v>
      </c>
      <c r="H122" s="6">
        <v>18</v>
      </c>
      <c r="I122" s="6">
        <v>5</v>
      </c>
    </row>
    <row r="123" spans="1:9">
      <c r="A123" s="6">
        <v>122</v>
      </c>
      <c r="B123" s="4" t="s">
        <v>190</v>
      </c>
      <c r="C123" s="6" t="s">
        <v>0</v>
      </c>
      <c r="D123" s="6" t="s">
        <v>445</v>
      </c>
      <c r="E123" s="8">
        <v>0.66666666666666663</v>
      </c>
      <c r="F123" s="6">
        <v>12</v>
      </c>
      <c r="G123" s="6">
        <f>SUM(Table1[[#This Row],[گزارش های تایید شده ]],Table1[[#This Row],[گزارش های رد شده ]])</f>
        <v>23</v>
      </c>
      <c r="H123" s="6">
        <v>20</v>
      </c>
      <c r="I123" s="6">
        <v>3</v>
      </c>
    </row>
    <row r="124" spans="1:9">
      <c r="A124" s="6">
        <v>123</v>
      </c>
      <c r="B124" s="4" t="s">
        <v>191</v>
      </c>
      <c r="C124" s="6" t="s">
        <v>2</v>
      </c>
      <c r="D124" s="6" t="s">
        <v>445</v>
      </c>
      <c r="E124" s="8">
        <v>0.70833333333333337</v>
      </c>
      <c r="F124" s="6">
        <v>14</v>
      </c>
      <c r="G124" s="6">
        <f>SUM(Table1[[#This Row],[گزارش های تایید شده ]],Table1[[#This Row],[گزارش های رد شده ]])</f>
        <v>22</v>
      </c>
      <c r="H124" s="6">
        <v>19</v>
      </c>
      <c r="I124" s="6">
        <v>3</v>
      </c>
    </row>
    <row r="125" spans="1:9">
      <c r="A125" s="6">
        <v>124</v>
      </c>
      <c r="B125" s="4" t="s">
        <v>192</v>
      </c>
      <c r="C125" s="6" t="s">
        <v>1</v>
      </c>
      <c r="D125" s="6" t="s">
        <v>445</v>
      </c>
      <c r="E125" s="8">
        <v>0.58333333333333337</v>
      </c>
      <c r="F125" s="6">
        <v>9</v>
      </c>
      <c r="G125" s="6">
        <f>SUM(Table1[[#This Row],[گزارش های تایید شده ]],Table1[[#This Row],[گزارش های رد شده ]])</f>
        <v>21</v>
      </c>
      <c r="H125" s="6">
        <v>19</v>
      </c>
      <c r="I125" s="6">
        <v>2</v>
      </c>
    </row>
    <row r="126" spans="1:9">
      <c r="A126" s="6">
        <v>125</v>
      </c>
      <c r="B126" s="4" t="s">
        <v>193</v>
      </c>
      <c r="C126" s="6" t="s">
        <v>0</v>
      </c>
      <c r="D126" s="6" t="s">
        <v>446</v>
      </c>
      <c r="E126" s="8">
        <v>0.54166666666666663</v>
      </c>
      <c r="F126" s="6">
        <v>11</v>
      </c>
      <c r="G126" s="6">
        <f>SUM(Table1[[#This Row],[گزارش های تایید شده ]],Table1[[#This Row],[گزارش های رد شده ]])</f>
        <v>21</v>
      </c>
      <c r="H126" s="6">
        <v>20</v>
      </c>
      <c r="I126" s="6">
        <v>1</v>
      </c>
    </row>
    <row r="127" spans="1:9">
      <c r="A127" s="6">
        <v>126</v>
      </c>
      <c r="B127" s="4" t="s">
        <v>194</v>
      </c>
      <c r="C127" s="6" t="s">
        <v>2</v>
      </c>
      <c r="D127" s="6" t="s">
        <v>445</v>
      </c>
      <c r="E127" s="8">
        <v>0.45833333333333331</v>
      </c>
      <c r="F127" s="6">
        <v>14</v>
      </c>
      <c r="G127" s="6">
        <f>SUM(Table1[[#This Row],[گزارش های تایید شده ]],Table1[[#This Row],[گزارش های رد شده ]])</f>
        <v>24</v>
      </c>
      <c r="H127" s="6">
        <v>20</v>
      </c>
      <c r="I127" s="6">
        <v>4</v>
      </c>
    </row>
    <row r="128" spans="1:9">
      <c r="A128" s="6">
        <v>127</v>
      </c>
      <c r="B128" s="4" t="s">
        <v>195</v>
      </c>
      <c r="C128" s="6" t="s">
        <v>1</v>
      </c>
      <c r="D128" s="6" t="s">
        <v>445</v>
      </c>
      <c r="E128" s="8">
        <v>0.45833333333333331</v>
      </c>
      <c r="F128" s="6">
        <v>12</v>
      </c>
      <c r="G128" s="6">
        <f>SUM(Table1[[#This Row],[گزارش های تایید شده ]],Table1[[#This Row],[گزارش های رد شده ]])</f>
        <v>24</v>
      </c>
      <c r="H128" s="6">
        <v>19</v>
      </c>
      <c r="I128" s="6">
        <v>5</v>
      </c>
    </row>
    <row r="129" spans="1:9">
      <c r="A129" s="6">
        <v>128</v>
      </c>
      <c r="B129" s="4" t="s">
        <v>196</v>
      </c>
      <c r="C129" s="6" t="s">
        <v>0</v>
      </c>
      <c r="D129" s="6" t="s">
        <v>446</v>
      </c>
      <c r="E129" s="8">
        <v>0.54166666666666663</v>
      </c>
      <c r="F129" s="6">
        <v>15</v>
      </c>
      <c r="G129" s="6">
        <f>SUM(Table1[[#This Row],[گزارش های تایید شده ]],Table1[[#This Row],[گزارش های رد شده ]])</f>
        <v>24</v>
      </c>
      <c r="H129" s="6">
        <v>19</v>
      </c>
      <c r="I129" s="6">
        <v>5</v>
      </c>
    </row>
    <row r="130" spans="1:9">
      <c r="A130" s="6">
        <v>129</v>
      </c>
      <c r="B130" s="4" t="s">
        <v>197</v>
      </c>
      <c r="C130" s="6" t="s">
        <v>2</v>
      </c>
      <c r="D130" s="6" t="s">
        <v>446</v>
      </c>
      <c r="E130" s="8">
        <v>0.45833333333333331</v>
      </c>
      <c r="F130" s="6">
        <v>13</v>
      </c>
      <c r="G130" s="6">
        <f>SUM(Table1[[#This Row],[گزارش های تایید شده ]],Table1[[#This Row],[گزارش های رد شده ]])</f>
        <v>22</v>
      </c>
      <c r="H130" s="6">
        <v>17</v>
      </c>
      <c r="I130" s="6">
        <v>5</v>
      </c>
    </row>
    <row r="131" spans="1:9">
      <c r="A131" s="6">
        <v>130</v>
      </c>
      <c r="B131" s="4" t="s">
        <v>198</v>
      </c>
      <c r="C131" s="6" t="s">
        <v>1</v>
      </c>
      <c r="D131" s="6" t="s">
        <v>445</v>
      </c>
      <c r="E131" s="8">
        <v>0.70833333333333337</v>
      </c>
      <c r="F131" s="6">
        <v>8</v>
      </c>
      <c r="G131" s="6">
        <f>SUM(Table1[[#This Row],[گزارش های تایید شده ]],Table1[[#This Row],[گزارش های رد شده ]])</f>
        <v>17</v>
      </c>
      <c r="H131" s="6">
        <v>17</v>
      </c>
      <c r="I131" s="6">
        <v>0</v>
      </c>
    </row>
    <row r="132" spans="1:9">
      <c r="A132" s="6">
        <v>131</v>
      </c>
      <c r="B132" s="4" t="s">
        <v>199</v>
      </c>
      <c r="C132" s="6" t="s">
        <v>0</v>
      </c>
      <c r="D132" s="6" t="s">
        <v>446</v>
      </c>
      <c r="E132" s="8">
        <v>0.75</v>
      </c>
      <c r="F132" s="6">
        <v>9</v>
      </c>
      <c r="G132" s="6">
        <f>SUM(Table1[[#This Row],[گزارش های تایید شده ]],Table1[[#This Row],[گزارش های رد شده ]])</f>
        <v>18</v>
      </c>
      <c r="H132" s="6">
        <v>18</v>
      </c>
      <c r="I132" s="6">
        <v>0</v>
      </c>
    </row>
    <row r="133" spans="1:9">
      <c r="A133" s="6">
        <v>132</v>
      </c>
      <c r="B133" s="4" t="s">
        <v>200</v>
      </c>
      <c r="C133" s="6" t="s">
        <v>2</v>
      </c>
      <c r="D133" s="6" t="s">
        <v>445</v>
      </c>
      <c r="E133" s="8">
        <v>0.5</v>
      </c>
      <c r="F133" s="6">
        <v>8</v>
      </c>
      <c r="G133" s="6">
        <f>SUM(Table1[[#This Row],[گزارش های تایید شده ]],Table1[[#This Row],[گزارش های رد شده ]])</f>
        <v>22</v>
      </c>
      <c r="H133" s="6">
        <v>20</v>
      </c>
      <c r="I133" s="6">
        <v>2</v>
      </c>
    </row>
    <row r="134" spans="1:9">
      <c r="A134" s="6">
        <v>133</v>
      </c>
      <c r="B134" s="4" t="s">
        <v>201</v>
      </c>
      <c r="C134" s="6" t="s">
        <v>1</v>
      </c>
      <c r="D134" s="6" t="s">
        <v>446</v>
      </c>
      <c r="E134" s="8">
        <v>0.79166666666666663</v>
      </c>
      <c r="F134" s="6">
        <v>9</v>
      </c>
      <c r="G134" s="6">
        <f>SUM(Table1[[#This Row],[گزارش های تایید شده ]],Table1[[#This Row],[گزارش های رد شده ]])</f>
        <v>24</v>
      </c>
      <c r="H134" s="6">
        <v>19</v>
      </c>
      <c r="I134" s="6">
        <v>5</v>
      </c>
    </row>
    <row r="135" spans="1:9">
      <c r="A135" s="6">
        <v>134</v>
      </c>
      <c r="B135" s="4" t="s">
        <v>202</v>
      </c>
      <c r="C135" s="6" t="s">
        <v>0</v>
      </c>
      <c r="D135" s="6" t="s">
        <v>445</v>
      </c>
      <c r="E135" s="8">
        <v>0.70833333333333337</v>
      </c>
      <c r="F135" s="6">
        <v>11</v>
      </c>
      <c r="G135" s="6">
        <f>SUM(Table1[[#This Row],[گزارش های تایید شده ]],Table1[[#This Row],[گزارش های رد شده ]])</f>
        <v>25</v>
      </c>
      <c r="H135" s="6">
        <v>20</v>
      </c>
      <c r="I135" s="6">
        <v>5</v>
      </c>
    </row>
    <row r="136" spans="1:9">
      <c r="A136" s="6">
        <v>135</v>
      </c>
      <c r="B136" s="4" t="s">
        <v>203</v>
      </c>
      <c r="C136" s="6" t="s">
        <v>2</v>
      </c>
      <c r="D136" s="6" t="s">
        <v>445</v>
      </c>
      <c r="E136" s="8">
        <v>0.70833333333333337</v>
      </c>
      <c r="F136" s="6">
        <v>13</v>
      </c>
      <c r="G136" s="6">
        <f>SUM(Table1[[#This Row],[گزارش های تایید شده ]],Table1[[#This Row],[گزارش های رد شده ]])</f>
        <v>17</v>
      </c>
      <c r="H136" s="6">
        <v>17</v>
      </c>
      <c r="I136" s="6">
        <v>0</v>
      </c>
    </row>
    <row r="137" spans="1:9">
      <c r="A137" s="6">
        <v>136</v>
      </c>
      <c r="B137" s="4" t="s">
        <v>204</v>
      </c>
      <c r="C137" s="6" t="s">
        <v>1</v>
      </c>
      <c r="D137" s="6" t="s">
        <v>445</v>
      </c>
      <c r="E137" s="8">
        <v>0.33333333333333331</v>
      </c>
      <c r="F137" s="6">
        <v>9</v>
      </c>
      <c r="G137" s="6">
        <f>SUM(Table1[[#This Row],[گزارش های تایید شده ]],Table1[[#This Row],[گزارش های رد شده ]])</f>
        <v>19</v>
      </c>
      <c r="H137" s="6">
        <v>19</v>
      </c>
      <c r="I137" s="6">
        <v>0</v>
      </c>
    </row>
    <row r="138" spans="1:9">
      <c r="A138" s="6">
        <v>137</v>
      </c>
      <c r="B138" s="4" t="s">
        <v>205</v>
      </c>
      <c r="C138" s="6" t="s">
        <v>0</v>
      </c>
      <c r="D138" s="6" t="s">
        <v>445</v>
      </c>
      <c r="E138" s="8">
        <v>0.66666666666666663</v>
      </c>
      <c r="F138" s="6">
        <v>8</v>
      </c>
      <c r="G138" s="6">
        <f>SUM(Table1[[#This Row],[گزارش های تایید شده ]],Table1[[#This Row],[گزارش های رد شده ]])</f>
        <v>22</v>
      </c>
      <c r="H138" s="6">
        <v>17</v>
      </c>
      <c r="I138" s="6">
        <v>5</v>
      </c>
    </row>
    <row r="139" spans="1:9">
      <c r="A139" s="6">
        <v>138</v>
      </c>
      <c r="B139" s="4" t="s">
        <v>206</v>
      </c>
      <c r="C139" s="6" t="s">
        <v>2</v>
      </c>
      <c r="D139" s="6" t="s">
        <v>445</v>
      </c>
      <c r="E139" s="8">
        <v>0.45833333333333331</v>
      </c>
      <c r="F139" s="6">
        <v>9</v>
      </c>
      <c r="G139" s="6">
        <f>SUM(Table1[[#This Row],[گزارش های تایید شده ]],Table1[[#This Row],[گزارش های رد شده ]])</f>
        <v>19</v>
      </c>
      <c r="H139" s="6">
        <v>19</v>
      </c>
      <c r="I139" s="6">
        <v>0</v>
      </c>
    </row>
    <row r="140" spans="1:9">
      <c r="A140" s="6">
        <v>139</v>
      </c>
      <c r="B140" s="4" t="s">
        <v>207</v>
      </c>
      <c r="C140" s="6" t="s">
        <v>1</v>
      </c>
      <c r="D140" s="6" t="s">
        <v>445</v>
      </c>
      <c r="E140" s="8">
        <v>0.5</v>
      </c>
      <c r="F140" s="6">
        <v>8</v>
      </c>
      <c r="G140" s="6">
        <f>SUM(Table1[[#This Row],[گزارش های تایید شده ]],Table1[[#This Row],[گزارش های رد شده ]])</f>
        <v>21</v>
      </c>
      <c r="H140" s="6">
        <v>20</v>
      </c>
      <c r="I140" s="6">
        <v>1</v>
      </c>
    </row>
    <row r="141" spans="1:9">
      <c r="A141" s="6">
        <v>140</v>
      </c>
      <c r="B141" s="4" t="s">
        <v>208</v>
      </c>
      <c r="C141" s="6" t="s">
        <v>0</v>
      </c>
      <c r="D141" s="6" t="s">
        <v>446</v>
      </c>
      <c r="E141" s="8">
        <v>0.41666666666666669</v>
      </c>
      <c r="F141" s="6">
        <v>13</v>
      </c>
      <c r="G141" s="6">
        <f>SUM(Table1[[#This Row],[گزارش های تایید شده ]],Table1[[#This Row],[گزارش های رد شده ]])</f>
        <v>22</v>
      </c>
      <c r="H141" s="6">
        <v>18</v>
      </c>
      <c r="I141" s="6">
        <v>4</v>
      </c>
    </row>
    <row r="142" spans="1:9">
      <c r="A142" s="6">
        <v>141</v>
      </c>
      <c r="B142" s="4" t="s">
        <v>209</v>
      </c>
      <c r="C142" s="6" t="s">
        <v>2</v>
      </c>
      <c r="D142" s="6" t="s">
        <v>445</v>
      </c>
      <c r="E142" s="8">
        <v>0.5</v>
      </c>
      <c r="F142" s="6">
        <v>14</v>
      </c>
      <c r="G142" s="6">
        <f>SUM(Table1[[#This Row],[گزارش های تایید شده ]],Table1[[#This Row],[گزارش های رد شده ]])</f>
        <v>24</v>
      </c>
      <c r="H142" s="6">
        <v>19</v>
      </c>
      <c r="I142" s="6">
        <v>5</v>
      </c>
    </row>
    <row r="143" spans="1:9">
      <c r="A143" s="6">
        <v>142</v>
      </c>
      <c r="B143" s="4" t="s">
        <v>210</v>
      </c>
      <c r="C143" s="6" t="s">
        <v>1</v>
      </c>
      <c r="D143" s="6" t="s">
        <v>445</v>
      </c>
      <c r="E143" s="8">
        <v>0.375</v>
      </c>
      <c r="F143" s="6">
        <v>13</v>
      </c>
      <c r="G143" s="6">
        <f>SUM(Table1[[#This Row],[گزارش های تایید شده ]],Table1[[#This Row],[گزارش های رد شده ]])</f>
        <v>17</v>
      </c>
      <c r="H143" s="6">
        <v>17</v>
      </c>
      <c r="I143" s="6">
        <v>0</v>
      </c>
    </row>
    <row r="144" spans="1:9">
      <c r="A144" s="6">
        <v>143</v>
      </c>
      <c r="B144" s="4" t="s">
        <v>211</v>
      </c>
      <c r="C144" s="6" t="s">
        <v>0</v>
      </c>
      <c r="D144" s="6" t="s">
        <v>446</v>
      </c>
      <c r="E144" s="8">
        <v>0.66666666666666663</v>
      </c>
      <c r="F144" s="6">
        <v>9</v>
      </c>
      <c r="G144" s="6">
        <f>SUM(Table1[[#This Row],[گزارش های تایید شده ]],Table1[[#This Row],[گزارش های رد شده ]])</f>
        <v>20</v>
      </c>
      <c r="H144" s="6">
        <v>19</v>
      </c>
      <c r="I144" s="6">
        <v>1</v>
      </c>
    </row>
    <row r="145" spans="1:9">
      <c r="A145" s="6">
        <v>144</v>
      </c>
      <c r="B145" s="4" t="s">
        <v>212</v>
      </c>
      <c r="C145" s="6" t="s">
        <v>2</v>
      </c>
      <c r="D145" s="6" t="s">
        <v>445</v>
      </c>
      <c r="E145" s="8">
        <v>0.79166666666666663</v>
      </c>
      <c r="F145" s="6">
        <v>8</v>
      </c>
      <c r="G145" s="6">
        <f>SUM(Table1[[#This Row],[گزارش های تایید شده ]],Table1[[#This Row],[گزارش های رد شده ]])</f>
        <v>20</v>
      </c>
      <c r="H145" s="6">
        <v>17</v>
      </c>
      <c r="I145" s="6">
        <v>3</v>
      </c>
    </row>
    <row r="146" spans="1:9">
      <c r="A146" s="6">
        <v>145</v>
      </c>
      <c r="B146" s="4" t="s">
        <v>213</v>
      </c>
      <c r="C146" s="6" t="s">
        <v>1</v>
      </c>
      <c r="D146" s="6" t="s">
        <v>445</v>
      </c>
      <c r="E146" s="8">
        <v>0.66666666666666663</v>
      </c>
      <c r="F146" s="6">
        <v>13</v>
      </c>
      <c r="G146" s="6">
        <f>SUM(Table1[[#This Row],[گزارش های تایید شده ]],Table1[[#This Row],[گزارش های رد شده ]])</f>
        <v>21</v>
      </c>
      <c r="H146" s="6">
        <v>18</v>
      </c>
      <c r="I146" s="6">
        <v>3</v>
      </c>
    </row>
    <row r="147" spans="1:9">
      <c r="A147" s="6">
        <v>146</v>
      </c>
      <c r="B147" s="4" t="s">
        <v>214</v>
      </c>
      <c r="C147" s="6" t="s">
        <v>0</v>
      </c>
      <c r="D147" s="6" t="s">
        <v>446</v>
      </c>
      <c r="E147" s="8">
        <v>0.70833333333333337</v>
      </c>
      <c r="F147" s="6">
        <v>14</v>
      </c>
      <c r="G147" s="6">
        <f>SUM(Table1[[#This Row],[گزارش های تایید شده ]],Table1[[#This Row],[گزارش های رد شده ]])</f>
        <v>19</v>
      </c>
      <c r="H147" s="6">
        <v>19</v>
      </c>
      <c r="I147" s="6">
        <v>0</v>
      </c>
    </row>
    <row r="148" spans="1:9">
      <c r="A148" s="6">
        <v>147</v>
      </c>
      <c r="B148" s="4" t="s">
        <v>215</v>
      </c>
      <c r="C148" s="6" t="s">
        <v>2</v>
      </c>
      <c r="D148" s="6" t="s">
        <v>446</v>
      </c>
      <c r="E148" s="8">
        <v>0.375</v>
      </c>
      <c r="F148" s="6">
        <v>9</v>
      </c>
      <c r="G148" s="6">
        <f>SUM(Table1[[#This Row],[گزارش های تایید شده ]],Table1[[#This Row],[گزارش های رد شده ]])</f>
        <v>18</v>
      </c>
      <c r="H148" s="6">
        <v>18</v>
      </c>
      <c r="I148" s="6">
        <v>0</v>
      </c>
    </row>
    <row r="149" spans="1:9">
      <c r="A149" s="6">
        <v>148</v>
      </c>
      <c r="B149" s="4" t="s">
        <v>216</v>
      </c>
      <c r="C149" s="6" t="s">
        <v>1</v>
      </c>
      <c r="D149" s="6" t="s">
        <v>445</v>
      </c>
      <c r="E149" s="8">
        <v>0.41666666666666669</v>
      </c>
      <c r="F149" s="6">
        <v>8</v>
      </c>
      <c r="G149" s="6">
        <f>SUM(Table1[[#This Row],[گزارش های تایید شده ]],Table1[[#This Row],[گزارش های رد شده ]])</f>
        <v>23</v>
      </c>
      <c r="H149" s="6">
        <v>18</v>
      </c>
      <c r="I149" s="6">
        <v>5</v>
      </c>
    </row>
    <row r="150" spans="1:9">
      <c r="A150" s="6">
        <v>149</v>
      </c>
      <c r="B150" s="4" t="s">
        <v>217</v>
      </c>
      <c r="C150" s="6" t="s">
        <v>0</v>
      </c>
      <c r="D150" s="6" t="s">
        <v>446</v>
      </c>
      <c r="E150" s="8">
        <v>0.66666666666666663</v>
      </c>
      <c r="F150" s="6">
        <v>12</v>
      </c>
      <c r="G150" s="6">
        <f>SUM(Table1[[#This Row],[گزارش های تایید شده ]],Table1[[#This Row],[گزارش های رد شده ]])</f>
        <v>18</v>
      </c>
      <c r="H150" s="6">
        <v>17</v>
      </c>
      <c r="I150" s="6">
        <v>1</v>
      </c>
    </row>
    <row r="151" spans="1:9">
      <c r="A151" s="6">
        <v>150</v>
      </c>
      <c r="B151" s="4" t="s">
        <v>218</v>
      </c>
      <c r="C151" s="6" t="s">
        <v>2</v>
      </c>
      <c r="D151" s="6" t="s">
        <v>446</v>
      </c>
      <c r="E151" s="8">
        <v>0.58333333333333337</v>
      </c>
      <c r="F151" s="6">
        <v>15</v>
      </c>
      <c r="G151" s="6">
        <f>SUM(Table1[[#This Row],[گزارش های تایید شده ]],Table1[[#This Row],[گزارش های رد شده ]])</f>
        <v>23</v>
      </c>
      <c r="H151" s="6">
        <v>19</v>
      </c>
      <c r="I151" s="6">
        <v>4</v>
      </c>
    </row>
    <row r="152" spans="1:9">
      <c r="A152" s="6">
        <v>151</v>
      </c>
      <c r="B152" s="4" t="s">
        <v>219</v>
      </c>
      <c r="C152" s="6" t="s">
        <v>1</v>
      </c>
      <c r="D152" s="6" t="s">
        <v>446</v>
      </c>
      <c r="E152" s="8">
        <v>0.33333333333333331</v>
      </c>
      <c r="F152" s="6">
        <v>12</v>
      </c>
      <c r="G152" s="6">
        <f>SUM(Table1[[#This Row],[گزارش های تایید شده ]],Table1[[#This Row],[گزارش های رد شده ]])</f>
        <v>20</v>
      </c>
      <c r="H152" s="6">
        <v>18</v>
      </c>
      <c r="I152" s="6">
        <v>2</v>
      </c>
    </row>
    <row r="153" spans="1:9">
      <c r="A153" s="6">
        <v>152</v>
      </c>
      <c r="B153" s="4" t="s">
        <v>220</v>
      </c>
      <c r="C153" s="6" t="s">
        <v>0</v>
      </c>
      <c r="D153" s="6" t="s">
        <v>445</v>
      </c>
      <c r="E153" s="8">
        <v>0.66666666666666663</v>
      </c>
      <c r="F153" s="6">
        <v>13</v>
      </c>
      <c r="G153" s="6">
        <f>SUM(Table1[[#This Row],[گزارش های تایید شده ]],Table1[[#This Row],[گزارش های رد شده ]])</f>
        <v>19</v>
      </c>
      <c r="H153" s="6">
        <v>18</v>
      </c>
      <c r="I153" s="6">
        <v>1</v>
      </c>
    </row>
    <row r="154" spans="1:9">
      <c r="A154" s="6">
        <v>153</v>
      </c>
      <c r="B154" s="4" t="s">
        <v>221</v>
      </c>
      <c r="C154" s="6" t="s">
        <v>2</v>
      </c>
      <c r="D154" s="6" t="s">
        <v>446</v>
      </c>
      <c r="E154" s="8">
        <v>0.5</v>
      </c>
      <c r="F154" s="6">
        <v>14</v>
      </c>
      <c r="G154" s="6">
        <f>SUM(Table1[[#This Row],[گزارش های تایید شده ]],Table1[[#This Row],[گزارش های رد شده ]])</f>
        <v>19</v>
      </c>
      <c r="H154" s="6">
        <v>17</v>
      </c>
      <c r="I154" s="6">
        <v>2</v>
      </c>
    </row>
    <row r="155" spans="1:9">
      <c r="A155" s="6">
        <v>154</v>
      </c>
      <c r="B155" s="4" t="s">
        <v>222</v>
      </c>
      <c r="C155" s="6" t="s">
        <v>1</v>
      </c>
      <c r="D155" s="6" t="s">
        <v>446</v>
      </c>
      <c r="E155" s="8">
        <v>0.5</v>
      </c>
      <c r="F155" s="6">
        <v>14</v>
      </c>
      <c r="G155" s="6">
        <f>SUM(Table1[[#This Row],[گزارش های تایید شده ]],Table1[[#This Row],[گزارش های رد شده ]])</f>
        <v>20</v>
      </c>
      <c r="H155" s="6">
        <v>19</v>
      </c>
      <c r="I155" s="6">
        <v>1</v>
      </c>
    </row>
    <row r="156" spans="1:9">
      <c r="A156" s="6">
        <v>155</v>
      </c>
      <c r="B156" s="4" t="s">
        <v>223</v>
      </c>
      <c r="C156" s="6" t="s">
        <v>0</v>
      </c>
      <c r="D156" s="6" t="s">
        <v>446</v>
      </c>
      <c r="E156" s="8">
        <v>0.79166666666666663</v>
      </c>
      <c r="F156" s="6">
        <v>11</v>
      </c>
      <c r="G156" s="6">
        <f>SUM(Table1[[#This Row],[گزارش های تایید شده ]],Table1[[#This Row],[گزارش های رد شده ]])</f>
        <v>21</v>
      </c>
      <c r="H156" s="6">
        <v>19</v>
      </c>
      <c r="I156" s="6">
        <v>2</v>
      </c>
    </row>
    <row r="157" spans="1:9">
      <c r="A157" s="6">
        <v>156</v>
      </c>
      <c r="B157" s="4" t="s">
        <v>224</v>
      </c>
      <c r="C157" s="6" t="s">
        <v>2</v>
      </c>
      <c r="D157" s="6" t="s">
        <v>446</v>
      </c>
      <c r="E157" s="8">
        <v>0.75</v>
      </c>
      <c r="F157" s="6">
        <v>11</v>
      </c>
      <c r="G157" s="6">
        <f>SUM(Table1[[#This Row],[گزارش های تایید شده ]],Table1[[#This Row],[گزارش های رد شده ]])</f>
        <v>20</v>
      </c>
      <c r="H157" s="6">
        <v>20</v>
      </c>
      <c r="I157" s="6">
        <v>0</v>
      </c>
    </row>
    <row r="158" spans="1:9">
      <c r="A158" s="6">
        <v>157</v>
      </c>
      <c r="B158" s="4" t="s">
        <v>225</v>
      </c>
      <c r="C158" s="6" t="s">
        <v>1</v>
      </c>
      <c r="D158" s="6" t="s">
        <v>445</v>
      </c>
      <c r="E158" s="8">
        <v>0.83333333333333337</v>
      </c>
      <c r="F158" s="6">
        <v>10</v>
      </c>
      <c r="G158" s="6">
        <f>SUM(Table1[[#This Row],[گزارش های تایید شده ]],Table1[[#This Row],[گزارش های رد شده ]])</f>
        <v>25</v>
      </c>
      <c r="H158" s="6">
        <v>20</v>
      </c>
      <c r="I158" s="6">
        <v>5</v>
      </c>
    </row>
    <row r="159" spans="1:9">
      <c r="A159" s="6">
        <v>158</v>
      </c>
      <c r="B159" s="4" t="s">
        <v>226</v>
      </c>
      <c r="C159" s="6" t="s">
        <v>0</v>
      </c>
      <c r="D159" s="6" t="s">
        <v>446</v>
      </c>
      <c r="E159" s="8">
        <v>0.41666666666666669</v>
      </c>
      <c r="F159" s="6">
        <v>10</v>
      </c>
      <c r="G159" s="6">
        <f>SUM(Table1[[#This Row],[گزارش های تایید شده ]],Table1[[#This Row],[گزارش های رد شده ]])</f>
        <v>25</v>
      </c>
      <c r="H159" s="6">
        <v>20</v>
      </c>
      <c r="I159" s="6">
        <v>5</v>
      </c>
    </row>
    <row r="160" spans="1:9">
      <c r="A160" s="6">
        <v>159</v>
      </c>
      <c r="B160" s="4" t="s">
        <v>227</v>
      </c>
      <c r="C160" s="6" t="s">
        <v>2</v>
      </c>
      <c r="D160" s="6" t="s">
        <v>446</v>
      </c>
      <c r="E160" s="8">
        <v>0.5</v>
      </c>
      <c r="F160" s="6">
        <v>13</v>
      </c>
      <c r="G160" s="6">
        <f>SUM(Table1[[#This Row],[گزارش های تایید شده ]],Table1[[#This Row],[گزارش های رد شده ]])</f>
        <v>18</v>
      </c>
      <c r="H160" s="6">
        <v>18</v>
      </c>
      <c r="I160" s="6">
        <v>0</v>
      </c>
    </row>
    <row r="161" spans="1:9">
      <c r="A161" s="6">
        <v>160</v>
      </c>
      <c r="B161" s="4" t="s">
        <v>228</v>
      </c>
      <c r="C161" s="6" t="s">
        <v>1</v>
      </c>
      <c r="D161" s="6" t="s">
        <v>446</v>
      </c>
      <c r="E161" s="8">
        <v>0.5</v>
      </c>
      <c r="F161" s="6">
        <v>13</v>
      </c>
      <c r="G161" s="6">
        <f>SUM(Table1[[#This Row],[گزارش های تایید شده ]],Table1[[#This Row],[گزارش های رد شده ]])</f>
        <v>18</v>
      </c>
      <c r="H161" s="6">
        <v>18</v>
      </c>
      <c r="I161" s="6">
        <v>0</v>
      </c>
    </row>
    <row r="162" spans="1:9">
      <c r="A162" s="6">
        <v>161</v>
      </c>
      <c r="B162" s="4" t="s">
        <v>229</v>
      </c>
      <c r="C162" s="6" t="s">
        <v>0</v>
      </c>
      <c r="D162" s="6" t="s">
        <v>446</v>
      </c>
      <c r="E162" s="8">
        <v>0.41666666666666669</v>
      </c>
      <c r="F162" s="6">
        <v>15</v>
      </c>
      <c r="G162" s="6">
        <f>SUM(Table1[[#This Row],[گزارش های تایید شده ]],Table1[[#This Row],[گزارش های رد شده ]])</f>
        <v>22</v>
      </c>
      <c r="H162" s="6">
        <v>19</v>
      </c>
      <c r="I162" s="6">
        <v>3</v>
      </c>
    </row>
    <row r="163" spans="1:9">
      <c r="A163" s="6">
        <v>162</v>
      </c>
      <c r="B163" s="4" t="s">
        <v>230</v>
      </c>
      <c r="C163" s="6" t="s">
        <v>2</v>
      </c>
      <c r="D163" s="6" t="s">
        <v>445</v>
      </c>
      <c r="E163" s="8">
        <v>0.375</v>
      </c>
      <c r="F163" s="6">
        <v>8</v>
      </c>
      <c r="G163" s="6">
        <f>SUM(Table1[[#This Row],[گزارش های تایید شده ]],Table1[[#This Row],[گزارش های رد شده ]])</f>
        <v>19</v>
      </c>
      <c r="H163" s="6">
        <v>18</v>
      </c>
      <c r="I163" s="6">
        <v>1</v>
      </c>
    </row>
    <row r="164" spans="1:9">
      <c r="A164" s="6">
        <v>163</v>
      </c>
      <c r="B164" s="4" t="s">
        <v>231</v>
      </c>
      <c r="C164" s="6" t="s">
        <v>1</v>
      </c>
      <c r="D164" s="6" t="s">
        <v>446</v>
      </c>
      <c r="E164" s="8">
        <v>0.5</v>
      </c>
      <c r="F164" s="6">
        <v>14</v>
      </c>
      <c r="G164" s="6">
        <f>SUM(Table1[[#This Row],[گزارش های تایید شده ]],Table1[[#This Row],[گزارش های رد شده ]])</f>
        <v>21</v>
      </c>
      <c r="H164" s="6">
        <v>18</v>
      </c>
      <c r="I164" s="6">
        <v>3</v>
      </c>
    </row>
    <row r="165" spans="1:9">
      <c r="A165" s="6">
        <v>164</v>
      </c>
      <c r="B165" s="4" t="s">
        <v>232</v>
      </c>
      <c r="C165" s="6" t="s">
        <v>0</v>
      </c>
      <c r="D165" s="6" t="s">
        <v>446</v>
      </c>
      <c r="E165" s="8">
        <v>0.375</v>
      </c>
      <c r="F165" s="6">
        <v>11</v>
      </c>
      <c r="G165" s="6">
        <f>SUM(Table1[[#This Row],[گزارش های تایید شده ]],Table1[[#This Row],[گزارش های رد شده ]])</f>
        <v>21</v>
      </c>
      <c r="H165" s="6">
        <v>19</v>
      </c>
      <c r="I165" s="6">
        <v>2</v>
      </c>
    </row>
    <row r="166" spans="1:9">
      <c r="A166" s="6">
        <v>165</v>
      </c>
      <c r="B166" s="4" t="s">
        <v>233</v>
      </c>
      <c r="C166" s="6" t="s">
        <v>2</v>
      </c>
      <c r="D166" s="6" t="s">
        <v>446</v>
      </c>
      <c r="E166" s="8">
        <v>0.45833333333333331</v>
      </c>
      <c r="F166" s="6">
        <v>8</v>
      </c>
      <c r="G166" s="6">
        <f>SUM(Table1[[#This Row],[گزارش های تایید شده ]],Table1[[#This Row],[گزارش های رد شده ]])</f>
        <v>20</v>
      </c>
      <c r="H166" s="6">
        <v>19</v>
      </c>
      <c r="I166" s="6">
        <v>1</v>
      </c>
    </row>
    <row r="167" spans="1:9">
      <c r="A167" s="6">
        <v>166</v>
      </c>
      <c r="B167" s="4" t="s">
        <v>234</v>
      </c>
      <c r="C167" s="6" t="s">
        <v>1</v>
      </c>
      <c r="D167" s="6" t="s">
        <v>446</v>
      </c>
      <c r="E167" s="8">
        <v>0.33333333333333331</v>
      </c>
      <c r="F167" s="6">
        <v>8</v>
      </c>
      <c r="G167" s="6">
        <f>SUM(Table1[[#This Row],[گزارش های تایید شده ]],Table1[[#This Row],[گزارش های رد شده ]])</f>
        <v>25</v>
      </c>
      <c r="H167" s="6">
        <v>20</v>
      </c>
      <c r="I167" s="6">
        <v>5</v>
      </c>
    </row>
    <row r="168" spans="1:9">
      <c r="A168" s="6">
        <v>167</v>
      </c>
      <c r="B168" s="4" t="s">
        <v>235</v>
      </c>
      <c r="C168" s="6" t="s">
        <v>0</v>
      </c>
      <c r="D168" s="6" t="s">
        <v>446</v>
      </c>
      <c r="E168" s="8">
        <v>0.625</v>
      </c>
      <c r="F168" s="6">
        <v>10</v>
      </c>
      <c r="G168" s="6">
        <f>SUM(Table1[[#This Row],[گزارش های تایید شده ]],Table1[[#This Row],[گزارش های رد شده ]])</f>
        <v>21</v>
      </c>
      <c r="H168" s="6">
        <v>20</v>
      </c>
      <c r="I168" s="6">
        <v>1</v>
      </c>
    </row>
    <row r="169" spans="1:9">
      <c r="A169" s="6">
        <v>168</v>
      </c>
      <c r="B169" s="4" t="s">
        <v>236</v>
      </c>
      <c r="C169" s="6" t="s">
        <v>2</v>
      </c>
      <c r="D169" s="6" t="s">
        <v>446</v>
      </c>
      <c r="E169" s="8">
        <v>0.375</v>
      </c>
      <c r="F169" s="6">
        <v>15</v>
      </c>
      <c r="G169" s="6">
        <f>SUM(Table1[[#This Row],[گزارش های تایید شده ]],Table1[[#This Row],[گزارش های رد شده ]])</f>
        <v>19</v>
      </c>
      <c r="H169" s="6">
        <v>19</v>
      </c>
      <c r="I169" s="6">
        <v>0</v>
      </c>
    </row>
    <row r="170" spans="1:9">
      <c r="A170" s="6">
        <v>169</v>
      </c>
      <c r="B170" s="4" t="s">
        <v>237</v>
      </c>
      <c r="C170" s="6" t="s">
        <v>1</v>
      </c>
      <c r="D170" s="6" t="s">
        <v>445</v>
      </c>
      <c r="E170" s="8">
        <v>0.58333333333333337</v>
      </c>
      <c r="F170" s="6">
        <v>9</v>
      </c>
      <c r="G170" s="6">
        <f>SUM(Table1[[#This Row],[گزارش های تایید شده ]],Table1[[#This Row],[گزارش های رد شده ]])</f>
        <v>25</v>
      </c>
      <c r="H170" s="6">
        <v>20</v>
      </c>
      <c r="I170" s="6">
        <v>5</v>
      </c>
    </row>
    <row r="171" spans="1:9">
      <c r="A171" s="6">
        <v>170</v>
      </c>
      <c r="B171" s="4" t="s">
        <v>238</v>
      </c>
      <c r="C171" s="6" t="s">
        <v>0</v>
      </c>
      <c r="D171" s="6" t="s">
        <v>445</v>
      </c>
      <c r="E171" s="8">
        <v>0.54166666666666663</v>
      </c>
      <c r="F171" s="6">
        <v>13</v>
      </c>
      <c r="G171" s="6">
        <f>SUM(Table1[[#This Row],[گزارش های تایید شده ]],Table1[[#This Row],[گزارش های رد شده ]])</f>
        <v>20</v>
      </c>
      <c r="H171" s="6">
        <v>20</v>
      </c>
      <c r="I171" s="6">
        <v>0</v>
      </c>
    </row>
    <row r="172" spans="1:9">
      <c r="A172" s="6">
        <v>171</v>
      </c>
      <c r="B172" s="4" t="s">
        <v>239</v>
      </c>
      <c r="C172" s="6" t="s">
        <v>2</v>
      </c>
      <c r="D172" s="6" t="s">
        <v>445</v>
      </c>
      <c r="E172" s="8">
        <v>0.70833333333333337</v>
      </c>
      <c r="F172" s="6">
        <v>8</v>
      </c>
      <c r="G172" s="6">
        <f>SUM(Table1[[#This Row],[گزارش های تایید شده ]],Table1[[#This Row],[گزارش های رد شده ]])</f>
        <v>19</v>
      </c>
      <c r="H172" s="6">
        <v>19</v>
      </c>
      <c r="I172" s="6">
        <v>0</v>
      </c>
    </row>
    <row r="173" spans="1:9">
      <c r="A173" s="6">
        <v>172</v>
      </c>
      <c r="B173" s="4" t="s">
        <v>240</v>
      </c>
      <c r="C173" s="6" t="s">
        <v>1</v>
      </c>
      <c r="D173" s="6" t="s">
        <v>445</v>
      </c>
      <c r="E173" s="8">
        <v>0.54166666666666663</v>
      </c>
      <c r="F173" s="6">
        <v>14</v>
      </c>
      <c r="G173" s="6">
        <f>SUM(Table1[[#This Row],[گزارش های تایید شده ]],Table1[[#This Row],[گزارش های رد شده ]])</f>
        <v>20</v>
      </c>
      <c r="H173" s="6">
        <v>18</v>
      </c>
      <c r="I173" s="6">
        <v>2</v>
      </c>
    </row>
    <row r="174" spans="1:9">
      <c r="A174" s="6">
        <v>173</v>
      </c>
      <c r="B174" s="4" t="s">
        <v>241</v>
      </c>
      <c r="C174" s="6" t="s">
        <v>0</v>
      </c>
      <c r="D174" s="6" t="s">
        <v>445</v>
      </c>
      <c r="E174" s="8">
        <v>0.375</v>
      </c>
      <c r="F174" s="6">
        <v>10</v>
      </c>
      <c r="G174" s="6">
        <f>SUM(Table1[[#This Row],[گزارش های تایید شده ]],Table1[[#This Row],[گزارش های رد شده ]])</f>
        <v>17</v>
      </c>
      <c r="H174" s="6">
        <v>17</v>
      </c>
      <c r="I174" s="6">
        <v>0</v>
      </c>
    </row>
    <row r="175" spans="1:9">
      <c r="A175" s="6">
        <v>174</v>
      </c>
      <c r="B175" s="4" t="s">
        <v>242</v>
      </c>
      <c r="C175" s="6" t="s">
        <v>2</v>
      </c>
      <c r="D175" s="6" t="s">
        <v>446</v>
      </c>
      <c r="E175" s="8">
        <v>0.75</v>
      </c>
      <c r="F175" s="6">
        <v>13</v>
      </c>
      <c r="G175" s="6">
        <f>SUM(Table1[[#This Row],[گزارش های تایید شده ]],Table1[[#This Row],[گزارش های رد شده ]])</f>
        <v>20</v>
      </c>
      <c r="H175" s="6">
        <v>17</v>
      </c>
      <c r="I175" s="6">
        <v>3</v>
      </c>
    </row>
    <row r="176" spans="1:9">
      <c r="A176" s="6">
        <v>175</v>
      </c>
      <c r="B176" s="4" t="s">
        <v>243</v>
      </c>
      <c r="C176" s="6" t="s">
        <v>1</v>
      </c>
      <c r="D176" s="6" t="s">
        <v>446</v>
      </c>
      <c r="E176" s="8">
        <v>0.625</v>
      </c>
      <c r="F176" s="6">
        <v>12</v>
      </c>
      <c r="G176" s="6">
        <f>SUM(Table1[[#This Row],[گزارش های تایید شده ]],Table1[[#This Row],[گزارش های رد شده ]])</f>
        <v>24</v>
      </c>
      <c r="H176" s="6">
        <v>20</v>
      </c>
      <c r="I176" s="6">
        <v>4</v>
      </c>
    </row>
    <row r="177" spans="1:9">
      <c r="A177" s="6">
        <v>176</v>
      </c>
      <c r="B177" s="4" t="s">
        <v>244</v>
      </c>
      <c r="C177" s="6" t="s">
        <v>0</v>
      </c>
      <c r="D177" s="6" t="s">
        <v>446</v>
      </c>
      <c r="E177" s="8">
        <v>0.45833333333333331</v>
      </c>
      <c r="F177" s="6">
        <v>11</v>
      </c>
      <c r="G177" s="6">
        <f>SUM(Table1[[#This Row],[گزارش های تایید شده ]],Table1[[#This Row],[گزارش های رد شده ]])</f>
        <v>23</v>
      </c>
      <c r="H177" s="6">
        <v>18</v>
      </c>
      <c r="I177" s="6">
        <v>5</v>
      </c>
    </row>
    <row r="178" spans="1:9">
      <c r="A178" s="6">
        <v>177</v>
      </c>
      <c r="B178" s="4" t="s">
        <v>245</v>
      </c>
      <c r="C178" s="6" t="s">
        <v>2</v>
      </c>
      <c r="D178" s="6" t="s">
        <v>446</v>
      </c>
      <c r="E178" s="8">
        <v>0.70833333333333337</v>
      </c>
      <c r="F178" s="6">
        <v>13</v>
      </c>
      <c r="G178" s="6">
        <f>SUM(Table1[[#This Row],[گزارش های تایید شده ]],Table1[[#This Row],[گزارش های رد شده ]])</f>
        <v>20</v>
      </c>
      <c r="H178" s="6">
        <v>18</v>
      </c>
      <c r="I178" s="6">
        <v>2</v>
      </c>
    </row>
    <row r="179" spans="1:9">
      <c r="A179" s="6">
        <v>178</v>
      </c>
      <c r="B179" s="4" t="s">
        <v>246</v>
      </c>
      <c r="C179" s="6" t="s">
        <v>1</v>
      </c>
      <c r="D179" s="6" t="s">
        <v>445</v>
      </c>
      <c r="E179" s="8">
        <v>0.45833333333333331</v>
      </c>
      <c r="F179" s="6">
        <v>15</v>
      </c>
      <c r="G179" s="6">
        <f>SUM(Table1[[#This Row],[گزارش های تایید شده ]],Table1[[#This Row],[گزارش های رد شده ]])</f>
        <v>20</v>
      </c>
      <c r="H179" s="6">
        <v>20</v>
      </c>
      <c r="I179" s="6">
        <v>0</v>
      </c>
    </row>
    <row r="180" spans="1:9">
      <c r="A180" s="6">
        <v>179</v>
      </c>
      <c r="B180" s="4" t="s">
        <v>247</v>
      </c>
      <c r="C180" s="6" t="s">
        <v>0</v>
      </c>
      <c r="D180" s="6" t="s">
        <v>446</v>
      </c>
      <c r="E180" s="8">
        <v>0.66666666666666663</v>
      </c>
      <c r="F180" s="6">
        <v>12</v>
      </c>
      <c r="G180" s="6">
        <f>SUM(Table1[[#This Row],[گزارش های تایید شده ]],Table1[[#This Row],[گزارش های رد شده ]])</f>
        <v>20</v>
      </c>
      <c r="H180" s="6">
        <v>19</v>
      </c>
      <c r="I180" s="6">
        <v>1</v>
      </c>
    </row>
    <row r="181" spans="1:9">
      <c r="A181" s="6">
        <v>180</v>
      </c>
      <c r="B181" s="4" t="s">
        <v>248</v>
      </c>
      <c r="C181" s="6" t="s">
        <v>2</v>
      </c>
      <c r="D181" s="6" t="s">
        <v>446</v>
      </c>
      <c r="E181" s="8">
        <v>0.33333333333333331</v>
      </c>
      <c r="F181" s="6">
        <v>9</v>
      </c>
      <c r="G181" s="6">
        <f>SUM(Table1[[#This Row],[گزارش های تایید شده ]],Table1[[#This Row],[گزارش های رد شده ]])</f>
        <v>20</v>
      </c>
      <c r="H181" s="6">
        <v>19</v>
      </c>
      <c r="I181" s="6">
        <v>1</v>
      </c>
    </row>
    <row r="182" spans="1:9">
      <c r="A182" s="6">
        <v>181</v>
      </c>
      <c r="B182" s="4" t="s">
        <v>249</v>
      </c>
      <c r="C182" s="6" t="s">
        <v>1</v>
      </c>
      <c r="D182" s="6" t="s">
        <v>445</v>
      </c>
      <c r="E182" s="8">
        <v>0.75</v>
      </c>
      <c r="F182" s="6">
        <v>13</v>
      </c>
      <c r="G182" s="6">
        <f>SUM(Table1[[#This Row],[گزارش های تایید شده ]],Table1[[#This Row],[گزارش های رد شده ]])</f>
        <v>22</v>
      </c>
      <c r="H182" s="6">
        <v>20</v>
      </c>
      <c r="I182" s="6">
        <v>2</v>
      </c>
    </row>
    <row r="183" spans="1:9">
      <c r="A183" s="6">
        <v>182</v>
      </c>
      <c r="B183" s="4" t="s">
        <v>250</v>
      </c>
      <c r="C183" s="6" t="s">
        <v>0</v>
      </c>
      <c r="D183" s="6" t="s">
        <v>445</v>
      </c>
      <c r="E183" s="8">
        <v>0.58333333333333337</v>
      </c>
      <c r="F183" s="6">
        <v>10</v>
      </c>
      <c r="G183" s="6">
        <f>SUM(Table1[[#This Row],[گزارش های تایید شده ]],Table1[[#This Row],[گزارش های رد شده ]])</f>
        <v>22</v>
      </c>
      <c r="H183" s="6">
        <v>20</v>
      </c>
      <c r="I183" s="6">
        <v>2</v>
      </c>
    </row>
    <row r="184" spans="1:9">
      <c r="A184" s="6">
        <v>183</v>
      </c>
      <c r="B184" s="4" t="s">
        <v>251</v>
      </c>
      <c r="C184" s="6" t="s">
        <v>2</v>
      </c>
      <c r="D184" s="6" t="s">
        <v>445</v>
      </c>
      <c r="E184" s="8">
        <v>0.75</v>
      </c>
      <c r="F184" s="6">
        <v>8</v>
      </c>
      <c r="G184" s="6">
        <f>SUM(Table1[[#This Row],[گزارش های تایید شده ]],Table1[[#This Row],[گزارش های رد شده ]])</f>
        <v>21</v>
      </c>
      <c r="H184" s="6">
        <v>17</v>
      </c>
      <c r="I184" s="6">
        <v>4</v>
      </c>
    </row>
    <row r="185" spans="1:9">
      <c r="A185" s="6">
        <v>184</v>
      </c>
      <c r="B185" s="4" t="s">
        <v>252</v>
      </c>
      <c r="C185" s="6" t="s">
        <v>1</v>
      </c>
      <c r="D185" s="6" t="s">
        <v>445</v>
      </c>
      <c r="E185" s="8">
        <v>0.83333333333333337</v>
      </c>
      <c r="F185" s="6">
        <v>15</v>
      </c>
      <c r="G185" s="6">
        <f>SUM(Table1[[#This Row],[گزارش های تایید شده ]],Table1[[#This Row],[گزارش های رد شده ]])</f>
        <v>22</v>
      </c>
      <c r="H185" s="6">
        <v>17</v>
      </c>
      <c r="I185" s="6">
        <v>5</v>
      </c>
    </row>
    <row r="186" spans="1:9">
      <c r="A186" s="6">
        <v>185</v>
      </c>
      <c r="B186" s="4" t="s">
        <v>253</v>
      </c>
      <c r="C186" s="6" t="s">
        <v>0</v>
      </c>
      <c r="D186" s="6" t="s">
        <v>446</v>
      </c>
      <c r="E186" s="8">
        <v>0.45833333333333331</v>
      </c>
      <c r="F186" s="6">
        <v>10</v>
      </c>
      <c r="G186" s="6">
        <f>SUM(Table1[[#This Row],[گزارش های تایید شده ]],Table1[[#This Row],[گزارش های رد شده ]])</f>
        <v>21</v>
      </c>
      <c r="H186" s="6">
        <v>20</v>
      </c>
      <c r="I186" s="6">
        <v>1</v>
      </c>
    </row>
    <row r="187" spans="1:9">
      <c r="A187" s="6">
        <v>186</v>
      </c>
      <c r="B187" s="4" t="s">
        <v>254</v>
      </c>
      <c r="C187" s="6" t="s">
        <v>2</v>
      </c>
      <c r="D187" s="6" t="s">
        <v>446</v>
      </c>
      <c r="E187" s="8">
        <v>0.79166666666666663</v>
      </c>
      <c r="F187" s="6">
        <v>14</v>
      </c>
      <c r="G187" s="6">
        <f>SUM(Table1[[#This Row],[گزارش های تایید شده ]],Table1[[#This Row],[گزارش های رد شده ]])</f>
        <v>22</v>
      </c>
      <c r="H187" s="6">
        <v>17</v>
      </c>
      <c r="I187" s="6">
        <v>5</v>
      </c>
    </row>
    <row r="188" spans="1:9">
      <c r="A188" s="6">
        <v>187</v>
      </c>
      <c r="B188" s="4" t="s">
        <v>255</v>
      </c>
      <c r="C188" s="6" t="s">
        <v>1</v>
      </c>
      <c r="D188" s="6" t="s">
        <v>445</v>
      </c>
      <c r="E188" s="8">
        <v>0.75</v>
      </c>
      <c r="F188" s="6">
        <v>13</v>
      </c>
      <c r="G188" s="6">
        <f>SUM(Table1[[#This Row],[گزارش های تایید شده ]],Table1[[#This Row],[گزارش های رد شده ]])</f>
        <v>23</v>
      </c>
      <c r="H188" s="6">
        <v>18</v>
      </c>
      <c r="I188" s="6">
        <v>5</v>
      </c>
    </row>
    <row r="189" spans="1:9">
      <c r="A189" s="6">
        <v>188</v>
      </c>
      <c r="B189" s="4" t="s">
        <v>256</v>
      </c>
      <c r="C189" s="6" t="s">
        <v>0</v>
      </c>
      <c r="D189" s="6" t="s">
        <v>446</v>
      </c>
      <c r="E189" s="8">
        <v>0.58333333333333337</v>
      </c>
      <c r="F189" s="6">
        <v>8</v>
      </c>
      <c r="G189" s="6">
        <f>SUM(Table1[[#This Row],[گزارش های تایید شده ]],Table1[[#This Row],[گزارش های رد شده ]])</f>
        <v>19</v>
      </c>
      <c r="H189" s="6">
        <v>18</v>
      </c>
      <c r="I189" s="6">
        <v>1</v>
      </c>
    </row>
    <row r="190" spans="1:9">
      <c r="A190" s="6">
        <v>189</v>
      </c>
      <c r="B190" s="4" t="s">
        <v>257</v>
      </c>
      <c r="C190" s="6" t="s">
        <v>2</v>
      </c>
      <c r="D190" s="6" t="s">
        <v>445</v>
      </c>
      <c r="E190" s="8">
        <v>0.33333333333333331</v>
      </c>
      <c r="F190" s="6">
        <v>13</v>
      </c>
      <c r="G190" s="6">
        <f>SUM(Table1[[#This Row],[گزارش های تایید شده ]],Table1[[#This Row],[گزارش های رد شده ]])</f>
        <v>18</v>
      </c>
      <c r="H190" s="6">
        <v>17</v>
      </c>
      <c r="I190" s="6">
        <v>1</v>
      </c>
    </row>
    <row r="191" spans="1:9">
      <c r="A191" s="6">
        <v>190</v>
      </c>
      <c r="B191" s="4" t="s">
        <v>258</v>
      </c>
      <c r="C191" s="6" t="s">
        <v>1</v>
      </c>
      <c r="D191" s="6" t="s">
        <v>446</v>
      </c>
      <c r="E191" s="8">
        <v>0.5</v>
      </c>
      <c r="F191" s="6">
        <v>12</v>
      </c>
      <c r="G191" s="6">
        <f>SUM(Table1[[#This Row],[گزارش های تایید شده ]],Table1[[#This Row],[گزارش های رد شده ]])</f>
        <v>18</v>
      </c>
      <c r="H191" s="6">
        <v>17</v>
      </c>
      <c r="I191" s="6">
        <v>1</v>
      </c>
    </row>
    <row r="192" spans="1:9">
      <c r="A192" s="6">
        <v>191</v>
      </c>
      <c r="B192" s="4" t="s">
        <v>259</v>
      </c>
      <c r="C192" s="6" t="s">
        <v>0</v>
      </c>
      <c r="D192" s="6" t="s">
        <v>445</v>
      </c>
      <c r="E192" s="8">
        <v>0.5</v>
      </c>
      <c r="F192" s="6">
        <v>9</v>
      </c>
      <c r="G192" s="6">
        <f>SUM(Table1[[#This Row],[گزارش های تایید شده ]],Table1[[#This Row],[گزارش های رد شده ]])</f>
        <v>19</v>
      </c>
      <c r="H192" s="6">
        <v>19</v>
      </c>
      <c r="I192" s="6">
        <v>0</v>
      </c>
    </row>
    <row r="193" spans="1:9">
      <c r="A193" s="6">
        <v>192</v>
      </c>
      <c r="B193" s="4" t="s">
        <v>260</v>
      </c>
      <c r="C193" s="6" t="s">
        <v>2</v>
      </c>
      <c r="D193" s="6" t="s">
        <v>446</v>
      </c>
      <c r="E193" s="8">
        <v>0.41666666666666669</v>
      </c>
      <c r="F193" s="6">
        <v>15</v>
      </c>
      <c r="G193" s="6">
        <f>SUM(Table1[[#This Row],[گزارش های تایید شده ]],Table1[[#This Row],[گزارش های رد شده ]])</f>
        <v>20</v>
      </c>
      <c r="H193" s="6">
        <v>17</v>
      </c>
      <c r="I193" s="6">
        <v>3</v>
      </c>
    </row>
    <row r="194" spans="1:9">
      <c r="A194" s="6">
        <v>193</v>
      </c>
      <c r="B194" s="4" t="s">
        <v>261</v>
      </c>
      <c r="C194" s="6" t="s">
        <v>1</v>
      </c>
      <c r="D194" s="6" t="s">
        <v>445</v>
      </c>
      <c r="E194" s="8">
        <v>0.375</v>
      </c>
      <c r="F194" s="6">
        <v>13</v>
      </c>
      <c r="G194" s="6">
        <f>SUM(Table1[[#This Row],[گزارش های تایید شده ]],Table1[[#This Row],[گزارش های رد شده ]])</f>
        <v>20</v>
      </c>
      <c r="H194" s="6">
        <v>18</v>
      </c>
      <c r="I194" s="6">
        <v>2</v>
      </c>
    </row>
    <row r="195" spans="1:9">
      <c r="A195" s="6">
        <v>194</v>
      </c>
      <c r="B195" s="4" t="s">
        <v>262</v>
      </c>
      <c r="C195" s="6" t="s">
        <v>0</v>
      </c>
      <c r="D195" s="6" t="s">
        <v>445</v>
      </c>
      <c r="E195" s="8">
        <v>0.79166666666666663</v>
      </c>
      <c r="F195" s="6">
        <v>8</v>
      </c>
      <c r="G195" s="6">
        <f>SUM(Table1[[#This Row],[گزارش های تایید شده ]],Table1[[#This Row],[گزارش های رد شده ]])</f>
        <v>22</v>
      </c>
      <c r="H195" s="6">
        <v>17</v>
      </c>
      <c r="I195" s="6">
        <v>5</v>
      </c>
    </row>
    <row r="196" spans="1:9">
      <c r="A196" s="6">
        <v>195</v>
      </c>
      <c r="B196" s="4" t="s">
        <v>263</v>
      </c>
      <c r="C196" s="6" t="s">
        <v>2</v>
      </c>
      <c r="D196" s="6" t="s">
        <v>446</v>
      </c>
      <c r="E196" s="8">
        <v>0.33333333333333331</v>
      </c>
      <c r="F196" s="6">
        <v>12</v>
      </c>
      <c r="G196" s="6">
        <f>SUM(Table1[[#This Row],[گزارش های تایید شده ]],Table1[[#This Row],[گزارش های رد شده ]])</f>
        <v>18</v>
      </c>
      <c r="H196" s="6">
        <v>17</v>
      </c>
      <c r="I196" s="6">
        <v>1</v>
      </c>
    </row>
    <row r="197" spans="1:9">
      <c r="A197" s="6">
        <v>196</v>
      </c>
      <c r="B197" s="4" t="s">
        <v>264</v>
      </c>
      <c r="C197" s="6" t="s">
        <v>1</v>
      </c>
      <c r="D197" s="6" t="s">
        <v>445</v>
      </c>
      <c r="E197" s="8">
        <v>0.83333333333333337</v>
      </c>
      <c r="F197" s="6">
        <v>11</v>
      </c>
      <c r="G197" s="6">
        <f>SUM(Table1[[#This Row],[گزارش های تایید شده ]],Table1[[#This Row],[گزارش های رد شده ]])</f>
        <v>18</v>
      </c>
      <c r="H197" s="6">
        <v>18</v>
      </c>
      <c r="I197" s="6">
        <v>0</v>
      </c>
    </row>
    <row r="198" spans="1:9">
      <c r="A198" s="6">
        <v>197</v>
      </c>
      <c r="B198" s="4" t="s">
        <v>265</v>
      </c>
      <c r="C198" s="6" t="s">
        <v>0</v>
      </c>
      <c r="D198" s="6" t="s">
        <v>445</v>
      </c>
      <c r="E198" s="8">
        <v>0.5</v>
      </c>
      <c r="F198" s="6">
        <v>12</v>
      </c>
      <c r="G198" s="6">
        <f>SUM(Table1[[#This Row],[گزارش های تایید شده ]],Table1[[#This Row],[گزارش های رد شده ]])</f>
        <v>21</v>
      </c>
      <c r="H198" s="6">
        <v>20</v>
      </c>
      <c r="I198" s="6">
        <v>1</v>
      </c>
    </row>
    <row r="199" spans="1:9">
      <c r="A199" s="6">
        <v>198</v>
      </c>
      <c r="B199" s="4" t="s">
        <v>266</v>
      </c>
      <c r="C199" s="6" t="s">
        <v>2</v>
      </c>
      <c r="D199" s="6" t="s">
        <v>445</v>
      </c>
      <c r="E199" s="8">
        <v>0.66666666666666663</v>
      </c>
      <c r="F199" s="6">
        <v>12</v>
      </c>
      <c r="G199" s="6">
        <f>SUM(Table1[[#This Row],[گزارش های تایید شده ]],Table1[[#This Row],[گزارش های رد شده ]])</f>
        <v>20</v>
      </c>
      <c r="H199" s="6">
        <v>18</v>
      </c>
      <c r="I199" s="6">
        <v>2</v>
      </c>
    </row>
    <row r="200" spans="1:9">
      <c r="A200" s="6">
        <v>199</v>
      </c>
      <c r="B200" s="4" t="s">
        <v>267</v>
      </c>
      <c r="C200" s="6" t="s">
        <v>1</v>
      </c>
      <c r="D200" s="6" t="s">
        <v>445</v>
      </c>
      <c r="E200" s="8">
        <v>0.375</v>
      </c>
      <c r="F200" s="6">
        <v>14</v>
      </c>
      <c r="G200" s="6">
        <f>SUM(Table1[[#This Row],[گزارش های تایید شده ]],Table1[[#This Row],[گزارش های رد شده ]])</f>
        <v>22</v>
      </c>
      <c r="H200" s="6">
        <v>19</v>
      </c>
      <c r="I200" s="6">
        <v>3</v>
      </c>
    </row>
    <row r="201" spans="1:9">
      <c r="A201" s="6">
        <v>200</v>
      </c>
      <c r="B201" s="4" t="s">
        <v>268</v>
      </c>
      <c r="C201" s="6" t="s">
        <v>0</v>
      </c>
      <c r="D201" s="6" t="s">
        <v>446</v>
      </c>
      <c r="E201" s="8">
        <v>0.625</v>
      </c>
      <c r="F201" s="6">
        <v>8</v>
      </c>
      <c r="G201" s="6">
        <f>SUM(Table1[[#This Row],[گزارش های تایید شده ]],Table1[[#This Row],[گزارش های رد شده ]])</f>
        <v>22</v>
      </c>
      <c r="H201" s="6">
        <v>17</v>
      </c>
      <c r="I201" s="6">
        <v>5</v>
      </c>
    </row>
    <row r="202" spans="1:9">
      <c r="A202" s="6">
        <v>201</v>
      </c>
      <c r="B202" s="4" t="s">
        <v>269</v>
      </c>
      <c r="C202" s="6" t="s">
        <v>2</v>
      </c>
      <c r="D202" s="6" t="s">
        <v>446</v>
      </c>
      <c r="E202" s="8">
        <v>0.70833333333333337</v>
      </c>
      <c r="F202" s="6">
        <v>15</v>
      </c>
      <c r="G202" s="6">
        <f>SUM(Table1[[#This Row],[گزارش های تایید شده ]],Table1[[#This Row],[گزارش های رد شده ]])</f>
        <v>24</v>
      </c>
      <c r="H202" s="6">
        <v>19</v>
      </c>
      <c r="I202" s="6">
        <v>5</v>
      </c>
    </row>
    <row r="203" spans="1:9">
      <c r="A203" s="6">
        <v>202</v>
      </c>
      <c r="B203" s="4" t="s">
        <v>270</v>
      </c>
      <c r="C203" s="6" t="s">
        <v>1</v>
      </c>
      <c r="D203" s="6" t="s">
        <v>445</v>
      </c>
      <c r="E203" s="8">
        <v>0.33333333333333331</v>
      </c>
      <c r="F203" s="6">
        <v>12</v>
      </c>
      <c r="G203" s="6">
        <f>SUM(Table1[[#This Row],[گزارش های تایید شده ]],Table1[[#This Row],[گزارش های رد شده ]])</f>
        <v>22</v>
      </c>
      <c r="H203" s="6">
        <v>20</v>
      </c>
      <c r="I203" s="6">
        <v>2</v>
      </c>
    </row>
    <row r="204" spans="1:9">
      <c r="A204" s="6">
        <v>203</v>
      </c>
      <c r="B204" s="4" t="s">
        <v>271</v>
      </c>
      <c r="C204" s="6" t="s">
        <v>0</v>
      </c>
      <c r="D204" s="6" t="s">
        <v>445</v>
      </c>
      <c r="E204" s="8">
        <v>0.83333333333333337</v>
      </c>
      <c r="F204" s="6">
        <v>8</v>
      </c>
      <c r="G204" s="6">
        <f>SUM(Table1[[#This Row],[گزارش های تایید شده ]],Table1[[#This Row],[گزارش های رد شده ]])</f>
        <v>19</v>
      </c>
      <c r="H204" s="6">
        <v>18</v>
      </c>
      <c r="I204" s="6">
        <v>1</v>
      </c>
    </row>
    <row r="205" spans="1:9">
      <c r="A205" s="6">
        <v>204</v>
      </c>
      <c r="B205" s="4" t="s">
        <v>272</v>
      </c>
      <c r="C205" s="6" t="s">
        <v>2</v>
      </c>
      <c r="D205" s="6" t="s">
        <v>446</v>
      </c>
      <c r="E205" s="8">
        <v>0.33333333333333331</v>
      </c>
      <c r="F205" s="6">
        <v>10</v>
      </c>
      <c r="G205" s="6">
        <f>SUM(Table1[[#This Row],[گزارش های تایید شده ]],Table1[[#This Row],[گزارش های رد شده ]])</f>
        <v>22</v>
      </c>
      <c r="H205" s="6">
        <v>19</v>
      </c>
      <c r="I205" s="6">
        <v>3</v>
      </c>
    </row>
    <row r="206" spans="1:9">
      <c r="A206" s="6">
        <v>205</v>
      </c>
      <c r="B206" s="4" t="s">
        <v>273</v>
      </c>
      <c r="C206" s="6" t="s">
        <v>1</v>
      </c>
      <c r="D206" s="6" t="s">
        <v>446</v>
      </c>
      <c r="E206" s="8">
        <v>0.625</v>
      </c>
      <c r="F206" s="6">
        <v>13</v>
      </c>
      <c r="G206" s="6">
        <f>SUM(Table1[[#This Row],[گزارش های تایید شده ]],Table1[[#This Row],[گزارش های رد شده ]])</f>
        <v>17</v>
      </c>
      <c r="H206" s="6">
        <v>17</v>
      </c>
      <c r="I206" s="6">
        <v>0</v>
      </c>
    </row>
    <row r="207" spans="1:9">
      <c r="A207" s="6">
        <v>206</v>
      </c>
      <c r="B207" s="4" t="s">
        <v>274</v>
      </c>
      <c r="C207" s="6" t="s">
        <v>0</v>
      </c>
      <c r="D207" s="6" t="s">
        <v>446</v>
      </c>
      <c r="E207" s="8">
        <v>0.625</v>
      </c>
      <c r="F207" s="6">
        <v>9</v>
      </c>
      <c r="G207" s="6">
        <f>SUM(Table1[[#This Row],[گزارش های تایید شده ]],Table1[[#This Row],[گزارش های رد شده ]])</f>
        <v>23</v>
      </c>
      <c r="H207" s="6">
        <v>19</v>
      </c>
      <c r="I207" s="6">
        <v>4</v>
      </c>
    </row>
    <row r="208" spans="1:9">
      <c r="A208" s="6">
        <v>207</v>
      </c>
      <c r="B208" s="4" t="s">
        <v>275</v>
      </c>
      <c r="C208" s="6" t="s">
        <v>2</v>
      </c>
      <c r="D208" s="6" t="s">
        <v>445</v>
      </c>
      <c r="E208" s="8">
        <v>0.45833333333333331</v>
      </c>
      <c r="F208" s="6">
        <v>14</v>
      </c>
      <c r="G208" s="6">
        <f>SUM(Table1[[#This Row],[گزارش های تایید شده ]],Table1[[#This Row],[گزارش های رد شده ]])</f>
        <v>21</v>
      </c>
      <c r="H208" s="6">
        <v>20</v>
      </c>
      <c r="I208" s="6">
        <v>1</v>
      </c>
    </row>
    <row r="209" spans="1:9">
      <c r="A209" s="6">
        <v>208</v>
      </c>
      <c r="B209" s="4" t="s">
        <v>276</v>
      </c>
      <c r="C209" s="6" t="s">
        <v>1</v>
      </c>
      <c r="D209" s="6" t="s">
        <v>445</v>
      </c>
      <c r="E209" s="8">
        <v>0.79166666666666663</v>
      </c>
      <c r="F209" s="6">
        <v>10</v>
      </c>
      <c r="G209" s="6">
        <f>SUM(Table1[[#This Row],[گزارش های تایید شده ]],Table1[[#This Row],[گزارش های رد شده ]])</f>
        <v>21</v>
      </c>
      <c r="H209" s="6">
        <v>20</v>
      </c>
      <c r="I209" s="6">
        <v>1</v>
      </c>
    </row>
    <row r="210" spans="1:9">
      <c r="A210" s="6">
        <v>209</v>
      </c>
      <c r="B210" s="4" t="s">
        <v>277</v>
      </c>
      <c r="C210" s="6" t="s">
        <v>0</v>
      </c>
      <c r="D210" s="6" t="s">
        <v>445</v>
      </c>
      <c r="E210" s="8">
        <v>0.375</v>
      </c>
      <c r="F210" s="6">
        <v>13</v>
      </c>
      <c r="G210" s="6">
        <f>SUM(Table1[[#This Row],[گزارش های تایید شده ]],Table1[[#This Row],[گزارش های رد شده ]])</f>
        <v>20</v>
      </c>
      <c r="H210" s="6">
        <v>19</v>
      </c>
      <c r="I210" s="6">
        <v>1</v>
      </c>
    </row>
    <row r="211" spans="1:9">
      <c r="A211" s="6">
        <v>210</v>
      </c>
      <c r="B211" s="4" t="s">
        <v>278</v>
      </c>
      <c r="C211" s="6" t="s">
        <v>2</v>
      </c>
      <c r="D211" s="6" t="s">
        <v>446</v>
      </c>
      <c r="E211" s="8">
        <v>0.66666666666666663</v>
      </c>
      <c r="F211" s="6">
        <v>12</v>
      </c>
      <c r="G211" s="6">
        <f>SUM(Table1[[#This Row],[گزارش های تایید شده ]],Table1[[#This Row],[گزارش های رد شده ]])</f>
        <v>19</v>
      </c>
      <c r="H211" s="6">
        <v>19</v>
      </c>
      <c r="I211" s="6">
        <v>0</v>
      </c>
    </row>
    <row r="212" spans="1:9">
      <c r="A212" s="6">
        <v>211</v>
      </c>
      <c r="B212" s="4" t="s">
        <v>279</v>
      </c>
      <c r="C212" s="6" t="s">
        <v>1</v>
      </c>
      <c r="D212" s="6" t="s">
        <v>446</v>
      </c>
      <c r="E212" s="8">
        <v>0.58333333333333337</v>
      </c>
      <c r="F212" s="6">
        <v>9</v>
      </c>
      <c r="G212" s="6">
        <f>SUM(Table1[[#This Row],[گزارش های تایید شده ]],Table1[[#This Row],[گزارش های رد شده ]])</f>
        <v>18</v>
      </c>
      <c r="H212" s="6">
        <v>17</v>
      </c>
      <c r="I212" s="6">
        <v>1</v>
      </c>
    </row>
    <row r="213" spans="1:9">
      <c r="A213" s="6">
        <v>212</v>
      </c>
      <c r="B213" s="4" t="s">
        <v>280</v>
      </c>
      <c r="C213" s="6" t="s">
        <v>0</v>
      </c>
      <c r="D213" s="6" t="s">
        <v>445</v>
      </c>
      <c r="E213" s="8">
        <v>0.33333333333333331</v>
      </c>
      <c r="F213" s="6">
        <v>12</v>
      </c>
      <c r="G213" s="6">
        <f>SUM(Table1[[#This Row],[گزارش های تایید شده ]],Table1[[#This Row],[گزارش های رد شده ]])</f>
        <v>22</v>
      </c>
      <c r="H213" s="6">
        <v>19</v>
      </c>
      <c r="I213" s="6">
        <v>3</v>
      </c>
    </row>
    <row r="214" spans="1:9">
      <c r="A214" s="6">
        <v>213</v>
      </c>
      <c r="B214" s="4" t="s">
        <v>281</v>
      </c>
      <c r="C214" s="6" t="s">
        <v>2</v>
      </c>
      <c r="D214" s="6" t="s">
        <v>445</v>
      </c>
      <c r="E214" s="8">
        <v>0.54166666666666663</v>
      </c>
      <c r="F214" s="6">
        <v>13</v>
      </c>
      <c r="G214" s="6">
        <f>SUM(Table1[[#This Row],[گزارش های تایید شده ]],Table1[[#This Row],[گزارش های رد شده ]])</f>
        <v>24</v>
      </c>
      <c r="H214" s="6">
        <v>19</v>
      </c>
      <c r="I214" s="6">
        <v>5</v>
      </c>
    </row>
    <row r="215" spans="1:9">
      <c r="A215" s="6">
        <v>214</v>
      </c>
      <c r="B215" s="4" t="s">
        <v>282</v>
      </c>
      <c r="C215" s="6" t="s">
        <v>1</v>
      </c>
      <c r="D215" s="6" t="s">
        <v>446</v>
      </c>
      <c r="E215" s="8">
        <v>0.83333333333333337</v>
      </c>
      <c r="F215" s="6">
        <v>15</v>
      </c>
      <c r="G215" s="6">
        <f>SUM(Table1[[#This Row],[گزارش های تایید شده ]],Table1[[#This Row],[گزارش های رد شده ]])</f>
        <v>22</v>
      </c>
      <c r="H215" s="6">
        <v>19</v>
      </c>
      <c r="I215" s="6">
        <v>3</v>
      </c>
    </row>
    <row r="216" spans="1:9">
      <c r="A216" s="6">
        <v>215</v>
      </c>
      <c r="B216" s="4" t="s">
        <v>283</v>
      </c>
      <c r="C216" s="6" t="s">
        <v>0</v>
      </c>
      <c r="D216" s="6" t="s">
        <v>445</v>
      </c>
      <c r="E216" s="8">
        <v>0.41666666666666669</v>
      </c>
      <c r="F216" s="6">
        <v>8</v>
      </c>
      <c r="G216" s="6">
        <f>SUM(Table1[[#This Row],[گزارش های تایید شده ]],Table1[[#This Row],[گزارش های رد شده ]])</f>
        <v>24</v>
      </c>
      <c r="H216" s="6">
        <v>20</v>
      </c>
      <c r="I216" s="6">
        <v>4</v>
      </c>
    </row>
    <row r="217" spans="1:9">
      <c r="A217" s="6">
        <v>216</v>
      </c>
      <c r="B217" s="4" t="s">
        <v>284</v>
      </c>
      <c r="C217" s="6" t="s">
        <v>2</v>
      </c>
      <c r="D217" s="6" t="s">
        <v>445</v>
      </c>
      <c r="E217" s="8">
        <v>0.33333333333333331</v>
      </c>
      <c r="F217" s="6">
        <v>11</v>
      </c>
      <c r="G217" s="6">
        <f>SUM(Table1[[#This Row],[گزارش های تایید شده ]],Table1[[#This Row],[گزارش های رد شده ]])</f>
        <v>19</v>
      </c>
      <c r="H217" s="6">
        <v>19</v>
      </c>
      <c r="I217" s="6">
        <v>0</v>
      </c>
    </row>
    <row r="218" spans="1:9">
      <c r="A218" s="6">
        <v>217</v>
      </c>
      <c r="B218" s="4" t="s">
        <v>285</v>
      </c>
      <c r="C218" s="6" t="s">
        <v>1</v>
      </c>
      <c r="D218" s="6" t="s">
        <v>446</v>
      </c>
      <c r="E218" s="8">
        <v>0.41666666666666669</v>
      </c>
      <c r="F218" s="6">
        <v>15</v>
      </c>
      <c r="G218" s="6">
        <f>SUM(Table1[[#This Row],[گزارش های تایید شده ]],Table1[[#This Row],[گزارش های رد شده ]])</f>
        <v>22</v>
      </c>
      <c r="H218" s="6">
        <v>17</v>
      </c>
      <c r="I218" s="6">
        <v>5</v>
      </c>
    </row>
    <row r="219" spans="1:9">
      <c r="A219" s="6">
        <v>218</v>
      </c>
      <c r="B219" s="4" t="s">
        <v>286</v>
      </c>
      <c r="C219" s="6" t="s">
        <v>0</v>
      </c>
      <c r="D219" s="6" t="s">
        <v>445</v>
      </c>
      <c r="E219" s="8">
        <v>0.58333333333333337</v>
      </c>
      <c r="F219" s="6">
        <v>10</v>
      </c>
      <c r="G219" s="6">
        <f>SUM(Table1[[#This Row],[گزارش های تایید شده ]],Table1[[#This Row],[گزارش های رد شده ]])</f>
        <v>21</v>
      </c>
      <c r="H219" s="6">
        <v>17</v>
      </c>
      <c r="I219" s="6">
        <v>4</v>
      </c>
    </row>
    <row r="220" spans="1:9">
      <c r="A220" s="6">
        <v>219</v>
      </c>
      <c r="B220" s="4" t="s">
        <v>287</v>
      </c>
      <c r="C220" s="6" t="s">
        <v>2</v>
      </c>
      <c r="D220" s="6" t="s">
        <v>446</v>
      </c>
      <c r="E220" s="8">
        <v>0.66666666666666663</v>
      </c>
      <c r="F220" s="6">
        <v>8</v>
      </c>
      <c r="G220" s="6">
        <f>SUM(Table1[[#This Row],[گزارش های تایید شده ]],Table1[[#This Row],[گزارش های رد شده ]])</f>
        <v>25</v>
      </c>
      <c r="H220" s="6">
        <v>20</v>
      </c>
      <c r="I220" s="6">
        <v>5</v>
      </c>
    </row>
    <row r="221" spans="1:9">
      <c r="A221" s="6">
        <v>220</v>
      </c>
      <c r="B221" s="4" t="s">
        <v>288</v>
      </c>
      <c r="C221" s="6" t="s">
        <v>1</v>
      </c>
      <c r="D221" s="6" t="s">
        <v>445</v>
      </c>
      <c r="E221" s="8">
        <v>0.58333333333333337</v>
      </c>
      <c r="F221" s="6">
        <v>14</v>
      </c>
      <c r="G221" s="6">
        <f>SUM(Table1[[#This Row],[گزارش های تایید شده ]],Table1[[#This Row],[گزارش های رد شده ]])</f>
        <v>23</v>
      </c>
      <c r="H221" s="6">
        <v>20</v>
      </c>
      <c r="I221" s="6">
        <v>3</v>
      </c>
    </row>
    <row r="222" spans="1:9">
      <c r="A222" s="6">
        <v>221</v>
      </c>
      <c r="B222" s="4" t="s">
        <v>289</v>
      </c>
      <c r="C222" s="6" t="s">
        <v>0</v>
      </c>
      <c r="D222" s="6" t="s">
        <v>445</v>
      </c>
      <c r="E222" s="8">
        <v>0.70833333333333337</v>
      </c>
      <c r="F222" s="6">
        <v>14</v>
      </c>
      <c r="G222" s="6">
        <f>SUM(Table1[[#This Row],[گزارش های تایید شده ]],Table1[[#This Row],[گزارش های رد شده ]])</f>
        <v>24</v>
      </c>
      <c r="H222" s="6">
        <v>20</v>
      </c>
      <c r="I222" s="6">
        <v>4</v>
      </c>
    </row>
    <row r="223" spans="1:9">
      <c r="A223" s="6">
        <v>222</v>
      </c>
      <c r="B223" s="4" t="s">
        <v>290</v>
      </c>
      <c r="C223" s="6" t="s">
        <v>2</v>
      </c>
      <c r="D223" s="6" t="s">
        <v>445</v>
      </c>
      <c r="E223" s="8">
        <v>0.625</v>
      </c>
      <c r="F223" s="6">
        <v>10</v>
      </c>
      <c r="G223" s="6">
        <f>SUM(Table1[[#This Row],[گزارش های تایید شده ]],Table1[[#This Row],[گزارش های رد شده ]])</f>
        <v>21</v>
      </c>
      <c r="H223" s="6">
        <v>18</v>
      </c>
      <c r="I223" s="6">
        <v>3</v>
      </c>
    </row>
    <row r="224" spans="1:9">
      <c r="A224" s="6">
        <v>223</v>
      </c>
      <c r="B224" s="4" t="s">
        <v>291</v>
      </c>
      <c r="C224" s="6" t="s">
        <v>1</v>
      </c>
      <c r="D224" s="6" t="s">
        <v>446</v>
      </c>
      <c r="E224" s="8">
        <v>0.75</v>
      </c>
      <c r="F224" s="6">
        <v>9</v>
      </c>
      <c r="G224" s="6">
        <f>SUM(Table1[[#This Row],[گزارش های تایید شده ]],Table1[[#This Row],[گزارش های رد شده ]])</f>
        <v>22</v>
      </c>
      <c r="H224" s="6">
        <v>17</v>
      </c>
      <c r="I224" s="6">
        <v>5</v>
      </c>
    </row>
    <row r="225" spans="1:9">
      <c r="A225" s="6">
        <v>224</v>
      </c>
      <c r="B225" s="4" t="s">
        <v>292</v>
      </c>
      <c r="C225" s="6" t="s">
        <v>0</v>
      </c>
      <c r="D225" s="6" t="s">
        <v>446</v>
      </c>
      <c r="E225" s="8">
        <v>0.75</v>
      </c>
      <c r="F225" s="6">
        <v>12</v>
      </c>
      <c r="G225" s="6">
        <f>SUM(Table1[[#This Row],[گزارش های تایید شده ]],Table1[[#This Row],[گزارش های رد شده ]])</f>
        <v>23</v>
      </c>
      <c r="H225" s="6">
        <v>18</v>
      </c>
      <c r="I225" s="6">
        <v>5</v>
      </c>
    </row>
    <row r="226" spans="1:9">
      <c r="A226" s="6">
        <v>225</v>
      </c>
      <c r="B226" s="4" t="s">
        <v>293</v>
      </c>
      <c r="C226" s="6" t="s">
        <v>2</v>
      </c>
      <c r="D226" s="6" t="s">
        <v>446</v>
      </c>
      <c r="E226" s="8">
        <v>0.66666666666666663</v>
      </c>
      <c r="F226" s="6">
        <v>10</v>
      </c>
      <c r="G226" s="6">
        <f>SUM(Table1[[#This Row],[گزارش های تایید شده ]],Table1[[#This Row],[گزارش های رد شده ]])</f>
        <v>23</v>
      </c>
      <c r="H226" s="6">
        <v>20</v>
      </c>
      <c r="I226" s="6">
        <v>3</v>
      </c>
    </row>
    <row r="227" spans="1:9">
      <c r="A227" s="6">
        <v>226</v>
      </c>
      <c r="B227" s="4" t="s">
        <v>294</v>
      </c>
      <c r="C227" s="6" t="s">
        <v>1</v>
      </c>
      <c r="D227" s="6" t="s">
        <v>445</v>
      </c>
      <c r="E227" s="8">
        <v>0.54166666666666663</v>
      </c>
      <c r="F227" s="6">
        <v>10</v>
      </c>
      <c r="G227" s="6">
        <f>SUM(Table1[[#This Row],[گزارش های تایید شده ]],Table1[[#This Row],[گزارش های رد شده ]])</f>
        <v>21</v>
      </c>
      <c r="H227" s="6">
        <v>18</v>
      </c>
      <c r="I227" s="6">
        <v>3</v>
      </c>
    </row>
    <row r="228" spans="1:9">
      <c r="A228" s="6">
        <v>227</v>
      </c>
      <c r="B228" s="4" t="s">
        <v>295</v>
      </c>
      <c r="C228" s="6" t="s">
        <v>0</v>
      </c>
      <c r="D228" s="6" t="s">
        <v>446</v>
      </c>
      <c r="E228" s="8">
        <v>0.79166666666666663</v>
      </c>
      <c r="F228" s="6">
        <v>15</v>
      </c>
      <c r="G228" s="6">
        <f>SUM(Table1[[#This Row],[گزارش های تایید شده ]],Table1[[#This Row],[گزارش های رد شده ]])</f>
        <v>21</v>
      </c>
      <c r="H228" s="6">
        <v>19</v>
      </c>
      <c r="I228" s="6">
        <v>2</v>
      </c>
    </row>
    <row r="229" spans="1:9">
      <c r="A229" s="6">
        <v>228</v>
      </c>
      <c r="B229" s="4" t="s">
        <v>296</v>
      </c>
      <c r="C229" s="6" t="s">
        <v>2</v>
      </c>
      <c r="D229" s="6" t="s">
        <v>445</v>
      </c>
      <c r="E229" s="8">
        <v>0.79166666666666663</v>
      </c>
      <c r="F229" s="6">
        <v>11</v>
      </c>
      <c r="G229" s="6">
        <f>SUM(Table1[[#This Row],[گزارش های تایید شده ]],Table1[[#This Row],[گزارش های رد شده ]])</f>
        <v>22</v>
      </c>
      <c r="H229" s="6">
        <v>17</v>
      </c>
      <c r="I229" s="6">
        <v>5</v>
      </c>
    </row>
    <row r="230" spans="1:9">
      <c r="A230" s="6">
        <v>229</v>
      </c>
      <c r="B230" s="4" t="s">
        <v>297</v>
      </c>
      <c r="C230" s="6" t="s">
        <v>1</v>
      </c>
      <c r="D230" s="6" t="s">
        <v>446</v>
      </c>
      <c r="E230" s="8">
        <v>0.70833333333333337</v>
      </c>
      <c r="F230" s="6">
        <v>8</v>
      </c>
      <c r="G230" s="6">
        <f>SUM(Table1[[#This Row],[گزارش های تایید شده ]],Table1[[#This Row],[گزارش های رد شده ]])</f>
        <v>20</v>
      </c>
      <c r="H230" s="6">
        <v>19</v>
      </c>
      <c r="I230" s="6">
        <v>1</v>
      </c>
    </row>
    <row r="231" spans="1:9">
      <c r="A231" s="6">
        <v>230</v>
      </c>
      <c r="B231" s="4" t="s">
        <v>298</v>
      </c>
      <c r="C231" s="6" t="s">
        <v>0</v>
      </c>
      <c r="D231" s="6" t="s">
        <v>446</v>
      </c>
      <c r="E231" s="8">
        <v>0.79166666666666663</v>
      </c>
      <c r="F231" s="6">
        <v>12</v>
      </c>
      <c r="G231" s="6">
        <f>SUM(Table1[[#This Row],[گزارش های تایید شده ]],Table1[[#This Row],[گزارش های رد شده ]])</f>
        <v>21</v>
      </c>
      <c r="H231" s="6">
        <v>20</v>
      </c>
      <c r="I231" s="6">
        <v>1</v>
      </c>
    </row>
    <row r="232" spans="1:9">
      <c r="A232" s="6">
        <v>231</v>
      </c>
      <c r="B232" s="4" t="s">
        <v>299</v>
      </c>
      <c r="C232" s="6" t="s">
        <v>2</v>
      </c>
      <c r="D232" s="6" t="s">
        <v>446</v>
      </c>
      <c r="E232" s="8">
        <v>0.375</v>
      </c>
      <c r="F232" s="6">
        <v>12</v>
      </c>
      <c r="G232" s="6">
        <f>SUM(Table1[[#This Row],[گزارش های تایید شده ]],Table1[[#This Row],[گزارش های رد شده ]])</f>
        <v>22</v>
      </c>
      <c r="H232" s="6">
        <v>19</v>
      </c>
      <c r="I232" s="6">
        <v>3</v>
      </c>
    </row>
    <row r="233" spans="1:9">
      <c r="A233" s="6">
        <v>232</v>
      </c>
      <c r="B233" s="4" t="s">
        <v>300</v>
      </c>
      <c r="C233" s="6" t="s">
        <v>1</v>
      </c>
      <c r="D233" s="6" t="s">
        <v>445</v>
      </c>
      <c r="E233" s="8">
        <v>0.33333333333333331</v>
      </c>
      <c r="F233" s="6">
        <v>10</v>
      </c>
      <c r="G233" s="6">
        <f>SUM(Table1[[#This Row],[گزارش های تایید شده ]],Table1[[#This Row],[گزارش های رد شده ]])</f>
        <v>23</v>
      </c>
      <c r="H233" s="6">
        <v>20</v>
      </c>
      <c r="I233" s="6">
        <v>3</v>
      </c>
    </row>
    <row r="234" spans="1:9">
      <c r="A234" s="6">
        <v>233</v>
      </c>
      <c r="B234" s="4" t="s">
        <v>301</v>
      </c>
      <c r="C234" s="6" t="s">
        <v>0</v>
      </c>
      <c r="D234" s="6" t="s">
        <v>445</v>
      </c>
      <c r="E234" s="8">
        <v>0.54166666666666663</v>
      </c>
      <c r="F234" s="6">
        <v>11</v>
      </c>
      <c r="G234" s="6">
        <f>SUM(Table1[[#This Row],[گزارش های تایید شده ]],Table1[[#This Row],[گزارش های رد شده ]])</f>
        <v>20</v>
      </c>
      <c r="H234" s="6">
        <v>18</v>
      </c>
      <c r="I234" s="6">
        <v>2</v>
      </c>
    </row>
    <row r="235" spans="1:9">
      <c r="A235" s="6">
        <v>234</v>
      </c>
      <c r="B235" s="4" t="s">
        <v>302</v>
      </c>
      <c r="C235" s="6" t="s">
        <v>2</v>
      </c>
      <c r="D235" s="6" t="s">
        <v>445</v>
      </c>
      <c r="E235" s="8">
        <v>0.66666666666666663</v>
      </c>
      <c r="F235" s="6">
        <v>12</v>
      </c>
      <c r="G235" s="6">
        <f>SUM(Table1[[#This Row],[گزارش های تایید شده ]],Table1[[#This Row],[گزارش های رد شده ]])</f>
        <v>20</v>
      </c>
      <c r="H235" s="6">
        <v>18</v>
      </c>
      <c r="I235" s="6">
        <v>2</v>
      </c>
    </row>
    <row r="236" spans="1:9">
      <c r="A236" s="6">
        <v>235</v>
      </c>
      <c r="B236" s="4" t="s">
        <v>303</v>
      </c>
      <c r="C236" s="6" t="s">
        <v>1</v>
      </c>
      <c r="D236" s="6" t="s">
        <v>446</v>
      </c>
      <c r="E236" s="8">
        <v>0.5</v>
      </c>
      <c r="F236" s="6">
        <v>8</v>
      </c>
      <c r="G236" s="6">
        <f>SUM(Table1[[#This Row],[گزارش های تایید شده ]],Table1[[#This Row],[گزارش های رد شده ]])</f>
        <v>25</v>
      </c>
      <c r="H236" s="6">
        <v>20</v>
      </c>
      <c r="I236" s="6">
        <v>5</v>
      </c>
    </row>
    <row r="237" spans="1:9">
      <c r="A237" s="6">
        <v>236</v>
      </c>
      <c r="B237" s="4" t="s">
        <v>304</v>
      </c>
      <c r="C237" s="6" t="s">
        <v>0</v>
      </c>
      <c r="D237" s="6" t="s">
        <v>446</v>
      </c>
      <c r="E237" s="8">
        <v>0.79166666666666663</v>
      </c>
      <c r="F237" s="6">
        <v>13</v>
      </c>
      <c r="G237" s="6">
        <f>SUM(Table1[[#This Row],[گزارش های تایید شده ]],Table1[[#This Row],[گزارش های رد شده ]])</f>
        <v>21</v>
      </c>
      <c r="H237" s="6">
        <v>20</v>
      </c>
      <c r="I237" s="6">
        <v>1</v>
      </c>
    </row>
    <row r="238" spans="1:9">
      <c r="A238" s="6">
        <v>237</v>
      </c>
      <c r="B238" s="4" t="s">
        <v>305</v>
      </c>
      <c r="C238" s="6" t="s">
        <v>2</v>
      </c>
      <c r="D238" s="6" t="s">
        <v>446</v>
      </c>
      <c r="E238" s="8">
        <v>0.375</v>
      </c>
      <c r="F238" s="6">
        <v>11</v>
      </c>
      <c r="G238" s="6">
        <f>SUM(Table1[[#This Row],[گزارش های تایید شده ]],Table1[[#This Row],[گزارش های رد شده ]])</f>
        <v>23</v>
      </c>
      <c r="H238" s="6">
        <v>18</v>
      </c>
      <c r="I238" s="6">
        <v>5</v>
      </c>
    </row>
    <row r="239" spans="1:9">
      <c r="A239" s="6">
        <v>238</v>
      </c>
      <c r="B239" s="4" t="s">
        <v>306</v>
      </c>
      <c r="C239" s="6" t="s">
        <v>1</v>
      </c>
      <c r="D239" s="6" t="s">
        <v>445</v>
      </c>
      <c r="E239" s="8">
        <v>0.83333333333333337</v>
      </c>
      <c r="F239" s="6">
        <v>12</v>
      </c>
      <c r="G239" s="6">
        <f>SUM(Table1[[#This Row],[گزارش های تایید شده ]],Table1[[#This Row],[گزارش های رد شده ]])</f>
        <v>22</v>
      </c>
      <c r="H239" s="6">
        <v>18</v>
      </c>
      <c r="I239" s="6">
        <v>4</v>
      </c>
    </row>
    <row r="240" spans="1:9">
      <c r="A240" s="6">
        <v>239</v>
      </c>
      <c r="B240" s="4" t="s">
        <v>307</v>
      </c>
      <c r="C240" s="6" t="s">
        <v>0</v>
      </c>
      <c r="D240" s="6" t="s">
        <v>445</v>
      </c>
      <c r="E240" s="8">
        <v>0.45833333333333331</v>
      </c>
      <c r="F240" s="6">
        <v>15</v>
      </c>
      <c r="G240" s="6">
        <f>SUM(Table1[[#This Row],[گزارش های تایید شده ]],Table1[[#This Row],[گزارش های رد شده ]])</f>
        <v>23</v>
      </c>
      <c r="H240" s="6">
        <v>20</v>
      </c>
      <c r="I240" s="6">
        <v>3</v>
      </c>
    </row>
    <row r="241" spans="1:9">
      <c r="A241" s="6">
        <v>240</v>
      </c>
      <c r="B241" s="4" t="s">
        <v>308</v>
      </c>
      <c r="C241" s="6" t="s">
        <v>2</v>
      </c>
      <c r="D241" s="6" t="s">
        <v>446</v>
      </c>
      <c r="E241" s="8">
        <v>0.79166666666666663</v>
      </c>
      <c r="F241" s="6">
        <v>10</v>
      </c>
      <c r="G241" s="6">
        <f>SUM(Table1[[#This Row],[گزارش های تایید شده ]],Table1[[#This Row],[گزارش های رد شده ]])</f>
        <v>23</v>
      </c>
      <c r="H241" s="6">
        <v>18</v>
      </c>
      <c r="I241" s="6">
        <v>5</v>
      </c>
    </row>
    <row r="242" spans="1:9">
      <c r="A242" s="6">
        <v>241</v>
      </c>
      <c r="B242" s="4" t="s">
        <v>309</v>
      </c>
      <c r="C242" s="6" t="s">
        <v>1</v>
      </c>
      <c r="D242" s="6" t="s">
        <v>446</v>
      </c>
      <c r="E242" s="8">
        <v>0.375</v>
      </c>
      <c r="F242" s="6">
        <v>9</v>
      </c>
      <c r="G242" s="6">
        <f>SUM(Table1[[#This Row],[گزارش های تایید شده ]],Table1[[#This Row],[گزارش های رد شده ]])</f>
        <v>18</v>
      </c>
      <c r="H242" s="6">
        <v>17</v>
      </c>
      <c r="I242" s="6">
        <v>1</v>
      </c>
    </row>
    <row r="243" spans="1:9">
      <c r="A243" s="6">
        <v>242</v>
      </c>
      <c r="B243" s="4" t="s">
        <v>310</v>
      </c>
      <c r="C243" s="6" t="s">
        <v>0</v>
      </c>
      <c r="D243" s="6" t="s">
        <v>446</v>
      </c>
      <c r="E243" s="8">
        <v>0.70833333333333337</v>
      </c>
      <c r="F243" s="6">
        <v>14</v>
      </c>
      <c r="G243" s="6">
        <f>SUM(Table1[[#This Row],[گزارش های تایید شده ]],Table1[[#This Row],[گزارش های رد شده ]])</f>
        <v>19</v>
      </c>
      <c r="H243" s="6">
        <v>17</v>
      </c>
      <c r="I243" s="6">
        <v>2</v>
      </c>
    </row>
    <row r="244" spans="1:9">
      <c r="A244" s="6">
        <v>243</v>
      </c>
      <c r="B244" s="4" t="s">
        <v>311</v>
      </c>
      <c r="C244" s="6" t="s">
        <v>2</v>
      </c>
      <c r="D244" s="6" t="s">
        <v>446</v>
      </c>
      <c r="E244" s="8">
        <v>0.45833333333333331</v>
      </c>
      <c r="F244" s="6">
        <v>12</v>
      </c>
      <c r="G244" s="6">
        <f>SUM(Table1[[#This Row],[گزارش های تایید شده ]],Table1[[#This Row],[گزارش های رد شده ]])</f>
        <v>23</v>
      </c>
      <c r="H244" s="6">
        <v>20</v>
      </c>
      <c r="I244" s="6">
        <v>3</v>
      </c>
    </row>
    <row r="245" spans="1:9">
      <c r="A245" s="6">
        <v>244</v>
      </c>
      <c r="B245" s="4" t="s">
        <v>312</v>
      </c>
      <c r="C245" s="6" t="s">
        <v>1</v>
      </c>
      <c r="D245" s="6" t="s">
        <v>446</v>
      </c>
      <c r="E245" s="8">
        <v>0.41666666666666669</v>
      </c>
      <c r="F245" s="6">
        <v>11</v>
      </c>
      <c r="G245" s="6">
        <f>SUM(Table1[[#This Row],[گزارش های تایید شده ]],Table1[[#This Row],[گزارش های رد شده ]])</f>
        <v>19</v>
      </c>
      <c r="H245" s="6">
        <v>17</v>
      </c>
      <c r="I245" s="6">
        <v>2</v>
      </c>
    </row>
    <row r="246" spans="1:9">
      <c r="A246" s="6">
        <v>245</v>
      </c>
      <c r="B246" s="4" t="s">
        <v>313</v>
      </c>
      <c r="C246" s="6" t="s">
        <v>0</v>
      </c>
      <c r="D246" s="6" t="s">
        <v>445</v>
      </c>
      <c r="E246" s="8">
        <v>0.625</v>
      </c>
      <c r="F246" s="6">
        <v>9</v>
      </c>
      <c r="G246" s="6">
        <f>SUM(Table1[[#This Row],[گزارش های تایید شده ]],Table1[[#This Row],[گزارش های رد شده ]])</f>
        <v>21</v>
      </c>
      <c r="H246" s="6">
        <v>19</v>
      </c>
      <c r="I246" s="6">
        <v>2</v>
      </c>
    </row>
    <row r="247" spans="1:9">
      <c r="A247" s="6">
        <v>246</v>
      </c>
      <c r="B247" s="4" t="s">
        <v>314</v>
      </c>
      <c r="C247" s="6" t="s">
        <v>2</v>
      </c>
      <c r="D247" s="6" t="s">
        <v>445</v>
      </c>
      <c r="E247" s="8">
        <v>0.58333333333333337</v>
      </c>
      <c r="F247" s="6">
        <v>8</v>
      </c>
      <c r="G247" s="6">
        <f>SUM(Table1[[#This Row],[گزارش های تایید شده ]],Table1[[#This Row],[گزارش های رد شده ]])</f>
        <v>20</v>
      </c>
      <c r="H247" s="6">
        <v>17</v>
      </c>
      <c r="I247" s="6">
        <v>3</v>
      </c>
    </row>
    <row r="248" spans="1:9">
      <c r="A248" s="6">
        <v>247</v>
      </c>
      <c r="B248" s="4" t="s">
        <v>315</v>
      </c>
      <c r="C248" s="6" t="s">
        <v>1</v>
      </c>
      <c r="D248" s="6" t="s">
        <v>445</v>
      </c>
      <c r="E248" s="8">
        <v>0.33333333333333331</v>
      </c>
      <c r="F248" s="6">
        <v>9</v>
      </c>
      <c r="G248" s="6">
        <f>SUM(Table1[[#This Row],[گزارش های تایید شده ]],Table1[[#This Row],[گزارش های رد شده ]])</f>
        <v>21</v>
      </c>
      <c r="H248" s="6">
        <v>19</v>
      </c>
      <c r="I248" s="6">
        <v>2</v>
      </c>
    </row>
    <row r="249" spans="1:9">
      <c r="A249" s="6">
        <v>248</v>
      </c>
      <c r="B249" s="4" t="s">
        <v>316</v>
      </c>
      <c r="C249" s="6" t="s">
        <v>0</v>
      </c>
      <c r="D249" s="6" t="s">
        <v>446</v>
      </c>
      <c r="E249" s="8">
        <v>0.75</v>
      </c>
      <c r="F249" s="6">
        <v>14</v>
      </c>
      <c r="G249" s="6">
        <f>SUM(Table1[[#This Row],[گزارش های تایید شده ]],Table1[[#This Row],[گزارش های رد شده ]])</f>
        <v>19</v>
      </c>
      <c r="H249" s="6">
        <v>18</v>
      </c>
      <c r="I249" s="6">
        <v>1</v>
      </c>
    </row>
    <row r="250" spans="1:9">
      <c r="A250" s="6">
        <v>249</v>
      </c>
      <c r="B250" s="4" t="s">
        <v>317</v>
      </c>
      <c r="C250" s="6" t="s">
        <v>2</v>
      </c>
      <c r="D250" s="6" t="s">
        <v>445</v>
      </c>
      <c r="E250" s="8">
        <v>0.70833333333333337</v>
      </c>
      <c r="F250" s="6">
        <v>14</v>
      </c>
      <c r="G250" s="6">
        <f>SUM(Table1[[#This Row],[گزارش های تایید شده ]],Table1[[#This Row],[گزارش های رد شده ]])</f>
        <v>23</v>
      </c>
      <c r="H250" s="6">
        <v>18</v>
      </c>
      <c r="I250" s="6">
        <v>5</v>
      </c>
    </row>
    <row r="251" spans="1:9">
      <c r="A251" s="6">
        <v>250</v>
      </c>
      <c r="B251" s="4" t="s">
        <v>318</v>
      </c>
      <c r="C251" s="6" t="s">
        <v>1</v>
      </c>
      <c r="D251" s="6" t="s">
        <v>445</v>
      </c>
      <c r="E251" s="8">
        <v>0.45833333333333331</v>
      </c>
      <c r="F251" s="6">
        <v>15</v>
      </c>
      <c r="G251" s="6">
        <f>SUM(Table1[[#This Row],[گزارش های تایید شده ]],Table1[[#This Row],[گزارش های رد شده ]])</f>
        <v>22</v>
      </c>
      <c r="H251" s="6">
        <v>18</v>
      </c>
      <c r="I251" s="6">
        <v>4</v>
      </c>
    </row>
    <row r="252" spans="1:9">
      <c r="A252" s="6">
        <v>251</v>
      </c>
      <c r="B252" s="4" t="s">
        <v>319</v>
      </c>
      <c r="C252" s="6" t="s">
        <v>0</v>
      </c>
      <c r="D252" s="6" t="s">
        <v>446</v>
      </c>
      <c r="E252" s="8">
        <v>0.5</v>
      </c>
      <c r="F252" s="6">
        <v>11</v>
      </c>
      <c r="G252" s="6">
        <f>SUM(Table1[[#This Row],[گزارش های تایید شده ]],Table1[[#This Row],[گزارش های رد شده ]])</f>
        <v>20</v>
      </c>
      <c r="H252" s="6">
        <v>18</v>
      </c>
      <c r="I252" s="6">
        <v>2</v>
      </c>
    </row>
    <row r="253" spans="1:9">
      <c r="A253" s="6">
        <v>252</v>
      </c>
      <c r="B253" s="4" t="s">
        <v>320</v>
      </c>
      <c r="C253" s="6" t="s">
        <v>2</v>
      </c>
      <c r="D253" s="6" t="s">
        <v>446</v>
      </c>
      <c r="E253" s="8">
        <v>0.66666666666666663</v>
      </c>
      <c r="F253" s="6">
        <v>10</v>
      </c>
      <c r="G253" s="6">
        <f>SUM(Table1[[#This Row],[گزارش های تایید شده ]],Table1[[#This Row],[گزارش های رد شده ]])</f>
        <v>18</v>
      </c>
      <c r="H253" s="6">
        <v>18</v>
      </c>
      <c r="I253" s="6">
        <v>0</v>
      </c>
    </row>
    <row r="254" spans="1:9">
      <c r="A254" s="6">
        <v>253</v>
      </c>
      <c r="B254" s="4" t="s">
        <v>321</v>
      </c>
      <c r="C254" s="6" t="s">
        <v>1</v>
      </c>
      <c r="D254" s="6" t="s">
        <v>445</v>
      </c>
      <c r="E254" s="8">
        <v>0.45833333333333331</v>
      </c>
      <c r="F254" s="6">
        <v>10</v>
      </c>
      <c r="G254" s="6">
        <f>SUM(Table1[[#This Row],[گزارش های تایید شده ]],Table1[[#This Row],[گزارش های رد شده ]])</f>
        <v>22</v>
      </c>
      <c r="H254" s="6">
        <v>20</v>
      </c>
      <c r="I254" s="6">
        <v>2</v>
      </c>
    </row>
    <row r="255" spans="1:9">
      <c r="A255" s="6">
        <v>254</v>
      </c>
      <c r="B255" s="4" t="s">
        <v>322</v>
      </c>
      <c r="C255" s="6" t="s">
        <v>0</v>
      </c>
      <c r="D255" s="6" t="s">
        <v>445</v>
      </c>
      <c r="E255" s="8">
        <v>0.75</v>
      </c>
      <c r="F255" s="6">
        <v>13</v>
      </c>
      <c r="G255" s="6">
        <f>SUM(Table1[[#This Row],[گزارش های تایید شده ]],Table1[[#This Row],[گزارش های رد شده ]])</f>
        <v>21</v>
      </c>
      <c r="H255" s="6">
        <v>19</v>
      </c>
      <c r="I255" s="6">
        <v>2</v>
      </c>
    </row>
    <row r="256" spans="1:9">
      <c r="A256" s="6">
        <v>255</v>
      </c>
      <c r="B256" s="4" t="s">
        <v>323</v>
      </c>
      <c r="C256" s="6" t="s">
        <v>2</v>
      </c>
      <c r="D256" s="6" t="s">
        <v>445</v>
      </c>
      <c r="E256" s="8">
        <v>0.79166666666666663</v>
      </c>
      <c r="F256" s="6">
        <v>8</v>
      </c>
      <c r="G256" s="6">
        <f>SUM(Table1[[#This Row],[گزارش های تایید شده ]],Table1[[#This Row],[گزارش های رد شده ]])</f>
        <v>17</v>
      </c>
      <c r="H256" s="6">
        <v>17</v>
      </c>
      <c r="I256" s="6">
        <v>0</v>
      </c>
    </row>
    <row r="257" spans="1:9">
      <c r="A257" s="6">
        <v>256</v>
      </c>
      <c r="B257" s="4" t="s">
        <v>324</v>
      </c>
      <c r="C257" s="6" t="s">
        <v>1</v>
      </c>
      <c r="D257" s="6" t="s">
        <v>445</v>
      </c>
      <c r="E257" s="8">
        <v>0.79166666666666663</v>
      </c>
      <c r="F257" s="6">
        <v>15</v>
      </c>
      <c r="G257" s="6">
        <f>SUM(Table1[[#This Row],[گزارش های تایید شده ]],Table1[[#This Row],[گزارش های رد شده ]])</f>
        <v>17</v>
      </c>
      <c r="H257" s="6">
        <v>17</v>
      </c>
      <c r="I257" s="6">
        <v>0</v>
      </c>
    </row>
    <row r="258" spans="1:9">
      <c r="A258" s="6">
        <v>257</v>
      </c>
      <c r="B258" s="4" t="s">
        <v>325</v>
      </c>
      <c r="C258" s="6" t="s">
        <v>0</v>
      </c>
      <c r="D258" s="6" t="s">
        <v>445</v>
      </c>
      <c r="E258" s="8">
        <v>0.33333333333333331</v>
      </c>
      <c r="F258" s="6">
        <v>11</v>
      </c>
      <c r="G258" s="6">
        <f>SUM(Table1[[#This Row],[گزارش های تایید شده ]],Table1[[#This Row],[گزارش های رد شده ]])</f>
        <v>23</v>
      </c>
      <c r="H258" s="6">
        <v>20</v>
      </c>
      <c r="I258" s="6">
        <v>3</v>
      </c>
    </row>
    <row r="259" spans="1:9">
      <c r="A259" s="6">
        <v>258</v>
      </c>
      <c r="B259" s="4" t="s">
        <v>326</v>
      </c>
      <c r="C259" s="6" t="s">
        <v>2</v>
      </c>
      <c r="D259" s="6" t="s">
        <v>446</v>
      </c>
      <c r="E259" s="8">
        <v>0.625</v>
      </c>
      <c r="F259" s="6">
        <v>15</v>
      </c>
      <c r="G259" s="6">
        <f>SUM(Table1[[#This Row],[گزارش های تایید شده ]],Table1[[#This Row],[گزارش های رد شده ]])</f>
        <v>18</v>
      </c>
      <c r="H259" s="6">
        <v>17</v>
      </c>
      <c r="I259" s="6">
        <v>1</v>
      </c>
    </row>
    <row r="260" spans="1:9">
      <c r="A260" s="6">
        <v>259</v>
      </c>
      <c r="B260" s="4" t="s">
        <v>327</v>
      </c>
      <c r="C260" s="6" t="s">
        <v>1</v>
      </c>
      <c r="D260" s="6" t="s">
        <v>446</v>
      </c>
      <c r="E260" s="8">
        <v>0.54166666666666663</v>
      </c>
      <c r="F260" s="6">
        <v>8</v>
      </c>
      <c r="G260" s="6">
        <f>SUM(Table1[[#This Row],[گزارش های تایید شده ]],Table1[[#This Row],[گزارش های رد شده ]])</f>
        <v>22</v>
      </c>
      <c r="H260" s="6">
        <v>20</v>
      </c>
      <c r="I260" s="6">
        <v>2</v>
      </c>
    </row>
    <row r="261" spans="1:9">
      <c r="A261" s="6">
        <v>260</v>
      </c>
      <c r="B261" s="4" t="s">
        <v>328</v>
      </c>
      <c r="C261" s="6" t="s">
        <v>0</v>
      </c>
      <c r="D261" s="6" t="s">
        <v>445</v>
      </c>
      <c r="E261" s="8">
        <v>0.5</v>
      </c>
      <c r="F261" s="6">
        <v>15</v>
      </c>
      <c r="G261" s="6">
        <f>SUM(Table1[[#This Row],[گزارش های تایید شده ]],Table1[[#This Row],[گزارش های رد شده ]])</f>
        <v>22</v>
      </c>
      <c r="H261" s="6">
        <v>20</v>
      </c>
      <c r="I261" s="6">
        <v>2</v>
      </c>
    </row>
    <row r="262" spans="1:9">
      <c r="A262" s="6">
        <v>261</v>
      </c>
      <c r="B262" s="4" t="s">
        <v>329</v>
      </c>
      <c r="C262" s="6" t="s">
        <v>2</v>
      </c>
      <c r="D262" s="6" t="s">
        <v>446</v>
      </c>
      <c r="E262" s="8">
        <v>0.66666666666666663</v>
      </c>
      <c r="F262" s="6">
        <v>13</v>
      </c>
      <c r="G262" s="6">
        <f>SUM(Table1[[#This Row],[گزارش های تایید شده ]],Table1[[#This Row],[گزارش های رد شده ]])</f>
        <v>22</v>
      </c>
      <c r="H262" s="6">
        <v>17</v>
      </c>
      <c r="I262" s="6">
        <v>5</v>
      </c>
    </row>
    <row r="263" spans="1:9">
      <c r="A263" s="6">
        <v>262</v>
      </c>
      <c r="B263" s="4" t="s">
        <v>330</v>
      </c>
      <c r="C263" s="6" t="s">
        <v>1</v>
      </c>
      <c r="D263" s="6" t="s">
        <v>446</v>
      </c>
      <c r="E263" s="8">
        <v>0.79166666666666663</v>
      </c>
      <c r="F263" s="6">
        <v>11</v>
      </c>
      <c r="G263" s="6">
        <f>SUM(Table1[[#This Row],[گزارش های تایید شده ]],Table1[[#This Row],[گزارش های رد شده ]])</f>
        <v>17</v>
      </c>
      <c r="H263" s="6">
        <v>17</v>
      </c>
      <c r="I263" s="6">
        <v>0</v>
      </c>
    </row>
    <row r="264" spans="1:9">
      <c r="A264" s="6">
        <v>263</v>
      </c>
      <c r="B264" s="4" t="s">
        <v>331</v>
      </c>
      <c r="C264" s="6" t="s">
        <v>0</v>
      </c>
      <c r="D264" s="6" t="s">
        <v>445</v>
      </c>
      <c r="E264" s="8">
        <v>0.79166666666666663</v>
      </c>
      <c r="F264" s="6">
        <v>9</v>
      </c>
      <c r="G264" s="6">
        <f>SUM(Table1[[#This Row],[گزارش های تایید شده ]],Table1[[#This Row],[گزارش های رد شده ]])</f>
        <v>22</v>
      </c>
      <c r="H264" s="6">
        <v>18</v>
      </c>
      <c r="I264" s="6">
        <v>4</v>
      </c>
    </row>
    <row r="265" spans="1:9">
      <c r="A265" s="6">
        <v>264</v>
      </c>
      <c r="B265" s="4" t="s">
        <v>332</v>
      </c>
      <c r="C265" s="6" t="s">
        <v>2</v>
      </c>
      <c r="D265" s="6" t="s">
        <v>446</v>
      </c>
      <c r="E265" s="8">
        <v>0.41666666666666669</v>
      </c>
      <c r="F265" s="6">
        <v>8</v>
      </c>
      <c r="G265" s="6">
        <f>SUM(Table1[[#This Row],[گزارش های تایید شده ]],Table1[[#This Row],[گزارش های رد شده ]])</f>
        <v>25</v>
      </c>
      <c r="H265" s="6">
        <v>20</v>
      </c>
      <c r="I265" s="6">
        <v>5</v>
      </c>
    </row>
    <row r="266" spans="1:9">
      <c r="A266" s="6">
        <v>265</v>
      </c>
      <c r="B266" s="4" t="s">
        <v>333</v>
      </c>
      <c r="C266" s="6" t="s">
        <v>1</v>
      </c>
      <c r="D266" s="6" t="s">
        <v>446</v>
      </c>
      <c r="E266" s="8">
        <v>0.66666666666666663</v>
      </c>
      <c r="F266" s="6">
        <v>8</v>
      </c>
      <c r="G266" s="6">
        <f>SUM(Table1[[#This Row],[گزارش های تایید شده ]],Table1[[#This Row],[گزارش های رد شده ]])</f>
        <v>24</v>
      </c>
      <c r="H266" s="6">
        <v>19</v>
      </c>
      <c r="I266" s="6">
        <v>5</v>
      </c>
    </row>
    <row r="267" spans="1:9">
      <c r="A267" s="6">
        <v>266</v>
      </c>
      <c r="B267" s="4" t="s">
        <v>334</v>
      </c>
      <c r="C267" s="6" t="s">
        <v>0</v>
      </c>
      <c r="D267" s="6" t="s">
        <v>446</v>
      </c>
      <c r="E267" s="8">
        <v>0.58333333333333337</v>
      </c>
      <c r="F267" s="6">
        <v>12</v>
      </c>
      <c r="G267" s="6">
        <f>SUM(Table1[[#This Row],[گزارش های تایید شده ]],Table1[[#This Row],[گزارش های رد شده ]])</f>
        <v>24</v>
      </c>
      <c r="H267" s="6">
        <v>20</v>
      </c>
      <c r="I267" s="6">
        <v>4</v>
      </c>
    </row>
    <row r="268" spans="1:9">
      <c r="A268" s="6">
        <v>267</v>
      </c>
      <c r="B268" s="4" t="s">
        <v>335</v>
      </c>
      <c r="C268" s="6" t="s">
        <v>2</v>
      </c>
      <c r="D268" s="6" t="s">
        <v>445</v>
      </c>
      <c r="E268" s="8">
        <v>0.83333333333333337</v>
      </c>
      <c r="F268" s="6">
        <v>13</v>
      </c>
      <c r="G268" s="6">
        <f>SUM(Table1[[#This Row],[گزارش های تایید شده ]],Table1[[#This Row],[گزارش های رد شده ]])</f>
        <v>17</v>
      </c>
      <c r="H268" s="6">
        <v>17</v>
      </c>
      <c r="I268" s="6">
        <v>0</v>
      </c>
    </row>
    <row r="269" spans="1:9">
      <c r="A269" s="6">
        <v>268</v>
      </c>
      <c r="B269" s="4" t="s">
        <v>336</v>
      </c>
      <c r="C269" s="6" t="s">
        <v>1</v>
      </c>
      <c r="D269" s="6" t="s">
        <v>445</v>
      </c>
      <c r="E269" s="8">
        <v>0.75</v>
      </c>
      <c r="F269" s="6">
        <v>12</v>
      </c>
      <c r="G269" s="6">
        <f>SUM(Table1[[#This Row],[گزارش های تایید شده ]],Table1[[#This Row],[گزارش های رد شده ]])</f>
        <v>20</v>
      </c>
      <c r="H269" s="6">
        <v>20</v>
      </c>
      <c r="I269" s="6">
        <v>0</v>
      </c>
    </row>
    <row r="270" spans="1:9">
      <c r="A270" s="6">
        <v>269</v>
      </c>
      <c r="B270" s="4" t="s">
        <v>337</v>
      </c>
      <c r="C270" s="6" t="s">
        <v>0</v>
      </c>
      <c r="D270" s="6" t="s">
        <v>446</v>
      </c>
      <c r="E270" s="8">
        <v>0.625</v>
      </c>
      <c r="F270" s="6">
        <v>13</v>
      </c>
      <c r="G270" s="6">
        <f>SUM(Table1[[#This Row],[گزارش های تایید شده ]],Table1[[#This Row],[گزارش های رد شده ]])</f>
        <v>23</v>
      </c>
      <c r="H270" s="6">
        <v>20</v>
      </c>
      <c r="I270" s="6">
        <v>3</v>
      </c>
    </row>
    <row r="271" spans="1:9">
      <c r="A271" s="6">
        <v>270</v>
      </c>
      <c r="B271" s="4" t="s">
        <v>338</v>
      </c>
      <c r="C271" s="6" t="s">
        <v>2</v>
      </c>
      <c r="D271" s="6" t="s">
        <v>445</v>
      </c>
      <c r="E271" s="8">
        <v>0.58333333333333337</v>
      </c>
      <c r="F271" s="6">
        <v>15</v>
      </c>
      <c r="G271" s="6">
        <f>SUM(Table1[[#This Row],[گزارش های تایید شده ]],Table1[[#This Row],[گزارش های رد شده ]])</f>
        <v>24</v>
      </c>
      <c r="H271" s="6">
        <v>19</v>
      </c>
      <c r="I271" s="6">
        <v>5</v>
      </c>
    </row>
    <row r="272" spans="1:9">
      <c r="A272" s="6">
        <v>271</v>
      </c>
      <c r="B272" s="4" t="s">
        <v>339</v>
      </c>
      <c r="C272" s="6" t="s">
        <v>1</v>
      </c>
      <c r="D272" s="6" t="s">
        <v>445</v>
      </c>
      <c r="E272" s="8">
        <v>0.83333333333333337</v>
      </c>
      <c r="F272" s="6">
        <v>9</v>
      </c>
      <c r="G272" s="6">
        <f>SUM(Table1[[#This Row],[گزارش های تایید شده ]],Table1[[#This Row],[گزارش های رد شده ]])</f>
        <v>20</v>
      </c>
      <c r="H272" s="6">
        <v>19</v>
      </c>
      <c r="I272" s="6">
        <v>1</v>
      </c>
    </row>
    <row r="273" spans="1:9">
      <c r="A273" s="6">
        <v>272</v>
      </c>
      <c r="B273" s="4" t="s">
        <v>340</v>
      </c>
      <c r="C273" s="6" t="s">
        <v>0</v>
      </c>
      <c r="D273" s="6" t="s">
        <v>445</v>
      </c>
      <c r="E273" s="8">
        <v>0.5</v>
      </c>
      <c r="F273" s="6">
        <v>15</v>
      </c>
      <c r="G273" s="6">
        <f>SUM(Table1[[#This Row],[گزارش های تایید شده ]],Table1[[#This Row],[گزارش های رد شده ]])</f>
        <v>22</v>
      </c>
      <c r="H273" s="6">
        <v>20</v>
      </c>
      <c r="I273" s="6">
        <v>2</v>
      </c>
    </row>
    <row r="274" spans="1:9">
      <c r="A274" s="6">
        <v>273</v>
      </c>
      <c r="B274" s="4" t="s">
        <v>341</v>
      </c>
      <c r="C274" s="6" t="s">
        <v>2</v>
      </c>
      <c r="D274" s="6" t="s">
        <v>445</v>
      </c>
      <c r="E274" s="8">
        <v>0.625</v>
      </c>
      <c r="F274" s="6">
        <v>11</v>
      </c>
      <c r="G274" s="6">
        <f>SUM(Table1[[#This Row],[گزارش های تایید شده ]],Table1[[#This Row],[گزارش های رد شده ]])</f>
        <v>22</v>
      </c>
      <c r="H274" s="6">
        <v>17</v>
      </c>
      <c r="I274" s="6">
        <v>5</v>
      </c>
    </row>
    <row r="275" spans="1:9">
      <c r="A275" s="6">
        <v>274</v>
      </c>
      <c r="B275" s="4" t="s">
        <v>342</v>
      </c>
      <c r="C275" s="6" t="s">
        <v>1</v>
      </c>
      <c r="D275" s="6" t="s">
        <v>446</v>
      </c>
      <c r="E275" s="8">
        <v>0.375</v>
      </c>
      <c r="F275" s="6">
        <v>9</v>
      </c>
      <c r="G275" s="6">
        <f>SUM(Table1[[#This Row],[گزارش های تایید شده ]],Table1[[#This Row],[گزارش های رد شده ]])</f>
        <v>24</v>
      </c>
      <c r="H275" s="6">
        <v>19</v>
      </c>
      <c r="I275" s="6">
        <v>5</v>
      </c>
    </row>
    <row r="276" spans="1:9">
      <c r="A276" s="6">
        <v>275</v>
      </c>
      <c r="B276" s="4" t="s">
        <v>343</v>
      </c>
      <c r="C276" s="6" t="s">
        <v>0</v>
      </c>
      <c r="D276" s="6" t="s">
        <v>446</v>
      </c>
      <c r="E276" s="8">
        <v>0.375</v>
      </c>
      <c r="F276" s="6">
        <v>14</v>
      </c>
      <c r="G276" s="6">
        <f>SUM(Table1[[#This Row],[گزارش های تایید شده ]],Table1[[#This Row],[گزارش های رد شده ]])</f>
        <v>21</v>
      </c>
      <c r="H276" s="6">
        <v>18</v>
      </c>
      <c r="I276" s="6">
        <v>3</v>
      </c>
    </row>
    <row r="277" spans="1:9">
      <c r="A277" s="6">
        <v>276</v>
      </c>
      <c r="B277" s="4" t="s">
        <v>344</v>
      </c>
      <c r="C277" s="6" t="s">
        <v>2</v>
      </c>
      <c r="D277" s="6" t="s">
        <v>446</v>
      </c>
      <c r="E277" s="8">
        <v>0.625</v>
      </c>
      <c r="F277" s="6">
        <v>13</v>
      </c>
      <c r="G277" s="6">
        <f>SUM(Table1[[#This Row],[گزارش های تایید شده ]],Table1[[#This Row],[گزارش های رد شده ]])</f>
        <v>18</v>
      </c>
      <c r="H277" s="6">
        <v>17</v>
      </c>
      <c r="I277" s="6">
        <v>1</v>
      </c>
    </row>
    <row r="278" spans="1:9">
      <c r="A278" s="6">
        <v>277</v>
      </c>
      <c r="B278" s="4" t="s">
        <v>345</v>
      </c>
      <c r="C278" s="6" t="s">
        <v>1</v>
      </c>
      <c r="D278" s="6" t="s">
        <v>445</v>
      </c>
      <c r="E278" s="8">
        <v>0.375</v>
      </c>
      <c r="F278" s="6">
        <v>9</v>
      </c>
      <c r="G278" s="6">
        <f>SUM(Table1[[#This Row],[گزارش های تایید شده ]],Table1[[#This Row],[گزارش های رد شده ]])</f>
        <v>18</v>
      </c>
      <c r="H278" s="6">
        <v>18</v>
      </c>
      <c r="I278" s="6">
        <v>0</v>
      </c>
    </row>
    <row r="279" spans="1:9">
      <c r="A279" s="6">
        <v>278</v>
      </c>
      <c r="B279" s="4" t="s">
        <v>346</v>
      </c>
      <c r="C279" s="6" t="s">
        <v>0</v>
      </c>
      <c r="D279" s="6" t="s">
        <v>446</v>
      </c>
      <c r="E279" s="8">
        <v>0.375</v>
      </c>
      <c r="F279" s="6">
        <v>12</v>
      </c>
      <c r="G279" s="6">
        <f>SUM(Table1[[#This Row],[گزارش های تایید شده ]],Table1[[#This Row],[گزارش های رد شده ]])</f>
        <v>17</v>
      </c>
      <c r="H279" s="6">
        <v>17</v>
      </c>
      <c r="I279" s="6">
        <v>0</v>
      </c>
    </row>
    <row r="280" spans="1:9">
      <c r="A280" s="6">
        <v>279</v>
      </c>
      <c r="B280" s="4" t="s">
        <v>347</v>
      </c>
      <c r="C280" s="6" t="s">
        <v>2</v>
      </c>
      <c r="D280" s="6" t="s">
        <v>446</v>
      </c>
      <c r="E280" s="8">
        <v>0.79166666666666663</v>
      </c>
      <c r="F280" s="6">
        <v>15</v>
      </c>
      <c r="G280" s="6">
        <f>SUM(Table1[[#This Row],[گزارش های تایید شده ]],Table1[[#This Row],[گزارش های رد شده ]])</f>
        <v>22</v>
      </c>
      <c r="H280" s="6">
        <v>20</v>
      </c>
      <c r="I280" s="6">
        <v>2</v>
      </c>
    </row>
    <row r="281" spans="1:9">
      <c r="A281" s="6">
        <v>280</v>
      </c>
      <c r="B281" s="4" t="s">
        <v>348</v>
      </c>
      <c r="C281" s="6" t="s">
        <v>1</v>
      </c>
      <c r="D281" s="6" t="s">
        <v>445</v>
      </c>
      <c r="E281" s="8">
        <v>0.41666666666666669</v>
      </c>
      <c r="F281" s="6">
        <v>11</v>
      </c>
      <c r="G281" s="6">
        <f>SUM(Table1[[#This Row],[گزارش های تایید شده ]],Table1[[#This Row],[گزارش های رد شده ]])</f>
        <v>23</v>
      </c>
      <c r="H281" s="6">
        <v>19</v>
      </c>
      <c r="I281" s="6">
        <v>4</v>
      </c>
    </row>
    <row r="282" spans="1:9">
      <c r="A282" s="6">
        <v>281</v>
      </c>
      <c r="B282" s="4" t="s">
        <v>349</v>
      </c>
      <c r="C282" s="6" t="s">
        <v>0</v>
      </c>
      <c r="D282" s="6" t="s">
        <v>445</v>
      </c>
      <c r="E282" s="8">
        <v>0.58333333333333337</v>
      </c>
      <c r="F282" s="6">
        <v>15</v>
      </c>
      <c r="G282" s="6">
        <f>SUM(Table1[[#This Row],[گزارش های تایید شده ]],Table1[[#This Row],[گزارش های رد شده ]])</f>
        <v>22</v>
      </c>
      <c r="H282" s="6">
        <v>17</v>
      </c>
      <c r="I282" s="6">
        <v>5</v>
      </c>
    </row>
    <row r="283" spans="1:9">
      <c r="A283" s="6">
        <v>282</v>
      </c>
      <c r="B283" s="4" t="s">
        <v>350</v>
      </c>
      <c r="C283" s="6" t="s">
        <v>2</v>
      </c>
      <c r="D283" s="6" t="s">
        <v>445</v>
      </c>
      <c r="E283" s="8">
        <v>0.375</v>
      </c>
      <c r="F283" s="6">
        <v>12</v>
      </c>
      <c r="G283" s="6">
        <f>SUM(Table1[[#This Row],[گزارش های تایید شده ]],Table1[[#This Row],[گزارش های رد شده ]])</f>
        <v>18</v>
      </c>
      <c r="H283" s="6">
        <v>18</v>
      </c>
      <c r="I283" s="6">
        <v>0</v>
      </c>
    </row>
    <row r="284" spans="1:9">
      <c r="A284" s="6">
        <v>283</v>
      </c>
      <c r="B284" s="4" t="s">
        <v>351</v>
      </c>
      <c r="C284" s="6" t="s">
        <v>1</v>
      </c>
      <c r="D284" s="6" t="s">
        <v>445</v>
      </c>
      <c r="E284" s="8">
        <v>0.45833333333333331</v>
      </c>
      <c r="F284" s="6">
        <v>13</v>
      </c>
      <c r="G284" s="6">
        <f>SUM(Table1[[#This Row],[گزارش های تایید شده ]],Table1[[#This Row],[گزارش های رد شده ]])</f>
        <v>22</v>
      </c>
      <c r="H284" s="6">
        <v>17</v>
      </c>
      <c r="I284" s="6">
        <v>5</v>
      </c>
    </row>
    <row r="285" spans="1:9">
      <c r="A285" s="6">
        <v>284</v>
      </c>
      <c r="B285" s="4" t="s">
        <v>352</v>
      </c>
      <c r="C285" s="6" t="s">
        <v>0</v>
      </c>
      <c r="D285" s="6" t="s">
        <v>446</v>
      </c>
      <c r="E285" s="8">
        <v>0.54166666666666663</v>
      </c>
      <c r="F285" s="6">
        <v>11</v>
      </c>
      <c r="G285" s="6">
        <f>SUM(Table1[[#This Row],[گزارش های تایید شده ]],Table1[[#This Row],[گزارش های رد شده ]])</f>
        <v>21</v>
      </c>
      <c r="H285" s="6">
        <v>17</v>
      </c>
      <c r="I285" s="6">
        <v>4</v>
      </c>
    </row>
    <row r="286" spans="1:9">
      <c r="A286" s="6">
        <v>285</v>
      </c>
      <c r="B286" s="4" t="s">
        <v>353</v>
      </c>
      <c r="C286" s="6" t="s">
        <v>2</v>
      </c>
      <c r="D286" s="6" t="s">
        <v>445</v>
      </c>
      <c r="E286" s="8">
        <v>0.83333333333333337</v>
      </c>
      <c r="F286" s="6">
        <v>13</v>
      </c>
      <c r="G286" s="6">
        <f>SUM(Table1[[#This Row],[گزارش های تایید شده ]],Table1[[#This Row],[گزارش های رد شده ]])</f>
        <v>19</v>
      </c>
      <c r="H286" s="6">
        <v>17</v>
      </c>
      <c r="I286" s="6">
        <v>2</v>
      </c>
    </row>
    <row r="287" spans="1:9">
      <c r="A287" s="6">
        <v>286</v>
      </c>
      <c r="B287" s="4" t="s">
        <v>354</v>
      </c>
      <c r="C287" s="6" t="s">
        <v>1</v>
      </c>
      <c r="D287" s="6" t="s">
        <v>446</v>
      </c>
      <c r="E287" s="8">
        <v>0.70833333333333337</v>
      </c>
      <c r="F287" s="6">
        <v>14</v>
      </c>
      <c r="G287" s="6">
        <f>SUM(Table1[[#This Row],[گزارش های تایید شده ]],Table1[[#This Row],[گزارش های رد شده ]])</f>
        <v>23</v>
      </c>
      <c r="H287" s="6">
        <v>20</v>
      </c>
      <c r="I287" s="6">
        <v>3</v>
      </c>
    </row>
    <row r="288" spans="1:9">
      <c r="A288" s="6">
        <v>287</v>
      </c>
      <c r="B288" s="4" t="s">
        <v>355</v>
      </c>
      <c r="C288" s="6" t="s">
        <v>0</v>
      </c>
      <c r="D288" s="6" t="s">
        <v>446</v>
      </c>
      <c r="E288" s="8">
        <v>0.375</v>
      </c>
      <c r="F288" s="6">
        <v>13</v>
      </c>
      <c r="G288" s="6">
        <f>SUM(Table1[[#This Row],[گزارش های تایید شده ]],Table1[[#This Row],[گزارش های رد شده ]])</f>
        <v>23</v>
      </c>
      <c r="H288" s="6">
        <v>20</v>
      </c>
      <c r="I288" s="6">
        <v>3</v>
      </c>
    </row>
    <row r="289" spans="1:9">
      <c r="A289" s="6">
        <v>288</v>
      </c>
      <c r="B289" s="4" t="s">
        <v>356</v>
      </c>
      <c r="C289" s="6" t="s">
        <v>2</v>
      </c>
      <c r="D289" s="6" t="s">
        <v>445</v>
      </c>
      <c r="E289" s="8">
        <v>0.41666666666666669</v>
      </c>
      <c r="F289" s="6">
        <v>14</v>
      </c>
      <c r="G289" s="6">
        <f>SUM(Table1[[#This Row],[گزارش های تایید شده ]],Table1[[#This Row],[گزارش های رد شده ]])</f>
        <v>24</v>
      </c>
      <c r="H289" s="6">
        <v>19</v>
      </c>
      <c r="I289" s="6">
        <v>5</v>
      </c>
    </row>
    <row r="290" spans="1:9">
      <c r="A290" s="6">
        <v>289</v>
      </c>
      <c r="B290" s="4" t="s">
        <v>357</v>
      </c>
      <c r="C290" s="6" t="s">
        <v>1</v>
      </c>
      <c r="D290" s="6" t="s">
        <v>446</v>
      </c>
      <c r="E290" s="8">
        <v>0.375</v>
      </c>
      <c r="F290" s="6">
        <v>9</v>
      </c>
      <c r="G290" s="6">
        <f>SUM(Table1[[#This Row],[گزارش های تایید شده ]],Table1[[#This Row],[گزارش های رد شده ]])</f>
        <v>21</v>
      </c>
      <c r="H290" s="6">
        <v>18</v>
      </c>
      <c r="I290" s="6">
        <v>3</v>
      </c>
    </row>
    <row r="291" spans="1:9">
      <c r="A291" s="6">
        <v>290</v>
      </c>
      <c r="B291" s="4" t="s">
        <v>358</v>
      </c>
      <c r="C291" s="6" t="s">
        <v>0</v>
      </c>
      <c r="D291" s="6" t="s">
        <v>446</v>
      </c>
      <c r="E291" s="8">
        <v>0.70833333333333337</v>
      </c>
      <c r="F291" s="6">
        <v>14</v>
      </c>
      <c r="G291" s="6">
        <f>SUM(Table1[[#This Row],[گزارش های تایید شده ]],Table1[[#This Row],[گزارش های رد شده ]])</f>
        <v>22</v>
      </c>
      <c r="H291" s="6">
        <v>18</v>
      </c>
      <c r="I291" s="6">
        <v>4</v>
      </c>
    </row>
    <row r="292" spans="1:9">
      <c r="A292" s="6">
        <v>291</v>
      </c>
      <c r="B292" s="4" t="s">
        <v>359</v>
      </c>
      <c r="C292" s="6" t="s">
        <v>2</v>
      </c>
      <c r="D292" s="6" t="s">
        <v>446</v>
      </c>
      <c r="E292" s="8">
        <v>0.70833333333333337</v>
      </c>
      <c r="F292" s="6">
        <v>9</v>
      </c>
      <c r="G292" s="6">
        <f>SUM(Table1[[#This Row],[گزارش های تایید شده ]],Table1[[#This Row],[گزارش های رد شده ]])</f>
        <v>20</v>
      </c>
      <c r="H292" s="6">
        <v>17</v>
      </c>
      <c r="I292" s="6">
        <v>3</v>
      </c>
    </row>
    <row r="293" spans="1:9">
      <c r="A293" s="6">
        <v>292</v>
      </c>
      <c r="B293" s="4" t="s">
        <v>360</v>
      </c>
      <c r="C293" s="6" t="s">
        <v>1</v>
      </c>
      <c r="D293" s="6" t="s">
        <v>446</v>
      </c>
      <c r="E293" s="8">
        <v>0.83333333333333337</v>
      </c>
      <c r="F293" s="6">
        <v>10</v>
      </c>
      <c r="G293" s="6">
        <f>SUM(Table1[[#This Row],[گزارش های تایید شده ]],Table1[[#This Row],[گزارش های رد شده ]])</f>
        <v>20</v>
      </c>
      <c r="H293" s="6">
        <v>18</v>
      </c>
      <c r="I293" s="6">
        <v>2</v>
      </c>
    </row>
    <row r="294" spans="1:9">
      <c r="A294" s="6">
        <v>293</v>
      </c>
      <c r="B294" s="4" t="s">
        <v>361</v>
      </c>
      <c r="C294" s="6" t="s">
        <v>0</v>
      </c>
      <c r="D294" s="6" t="s">
        <v>445</v>
      </c>
      <c r="E294" s="8">
        <v>0.66666666666666663</v>
      </c>
      <c r="F294" s="6">
        <v>13</v>
      </c>
      <c r="G294" s="6">
        <f>SUM(Table1[[#This Row],[گزارش های تایید شده ]],Table1[[#This Row],[گزارش های رد شده ]])</f>
        <v>22</v>
      </c>
      <c r="H294" s="6">
        <v>18</v>
      </c>
      <c r="I294" s="6">
        <v>4</v>
      </c>
    </row>
    <row r="295" spans="1:9">
      <c r="A295" s="6">
        <v>294</v>
      </c>
      <c r="B295" s="4" t="s">
        <v>362</v>
      </c>
      <c r="C295" s="6" t="s">
        <v>2</v>
      </c>
      <c r="D295" s="6" t="s">
        <v>445</v>
      </c>
      <c r="E295" s="8">
        <v>0.375</v>
      </c>
      <c r="F295" s="6">
        <v>9</v>
      </c>
      <c r="G295" s="6">
        <f>SUM(Table1[[#This Row],[گزارش های تایید شده ]],Table1[[#This Row],[گزارش های رد شده ]])</f>
        <v>23</v>
      </c>
      <c r="H295" s="6">
        <v>18</v>
      </c>
      <c r="I295" s="6">
        <v>5</v>
      </c>
    </row>
    <row r="296" spans="1:9">
      <c r="A296" s="6">
        <v>295</v>
      </c>
      <c r="B296" s="4" t="s">
        <v>363</v>
      </c>
      <c r="C296" s="6" t="s">
        <v>1</v>
      </c>
      <c r="D296" s="6" t="s">
        <v>445</v>
      </c>
      <c r="E296" s="8">
        <v>0.79166666666666663</v>
      </c>
      <c r="F296" s="6">
        <v>15</v>
      </c>
      <c r="G296" s="6">
        <f>SUM(Table1[[#This Row],[گزارش های تایید شده ]],Table1[[#This Row],[گزارش های رد شده ]])</f>
        <v>21</v>
      </c>
      <c r="H296" s="6">
        <v>20</v>
      </c>
      <c r="I296" s="6">
        <v>1</v>
      </c>
    </row>
    <row r="297" spans="1:9">
      <c r="A297" s="6">
        <v>296</v>
      </c>
      <c r="B297" s="4" t="s">
        <v>364</v>
      </c>
      <c r="C297" s="6" t="s">
        <v>0</v>
      </c>
      <c r="D297" s="6" t="s">
        <v>446</v>
      </c>
      <c r="E297" s="8">
        <v>0.5</v>
      </c>
      <c r="F297" s="6">
        <v>12</v>
      </c>
      <c r="G297" s="6">
        <f>SUM(Table1[[#This Row],[گزارش های تایید شده ]],Table1[[#This Row],[گزارش های رد شده ]])</f>
        <v>21</v>
      </c>
      <c r="H297" s="6">
        <v>17</v>
      </c>
      <c r="I297" s="6">
        <v>4</v>
      </c>
    </row>
    <row r="298" spans="1:9">
      <c r="A298" s="6">
        <v>297</v>
      </c>
      <c r="B298" s="4" t="s">
        <v>365</v>
      </c>
      <c r="C298" s="6" t="s">
        <v>2</v>
      </c>
      <c r="D298" s="6" t="s">
        <v>445</v>
      </c>
      <c r="E298" s="8">
        <v>0.41666666666666669</v>
      </c>
      <c r="F298" s="6">
        <v>9</v>
      </c>
      <c r="G298" s="6">
        <f>SUM(Table1[[#This Row],[گزارش های تایید شده ]],Table1[[#This Row],[گزارش های رد شده ]])</f>
        <v>20</v>
      </c>
      <c r="H298" s="6">
        <v>18</v>
      </c>
      <c r="I298" s="6">
        <v>2</v>
      </c>
    </row>
    <row r="299" spans="1:9">
      <c r="A299" s="6">
        <v>298</v>
      </c>
      <c r="B299" s="4" t="s">
        <v>366</v>
      </c>
      <c r="C299" s="6" t="s">
        <v>1</v>
      </c>
      <c r="D299" s="6" t="s">
        <v>446</v>
      </c>
      <c r="E299" s="8">
        <v>0.66666666666666663</v>
      </c>
      <c r="F299" s="6">
        <v>12</v>
      </c>
      <c r="G299" s="6">
        <f>SUM(Table1[[#This Row],[گزارش های تایید شده ]],Table1[[#This Row],[گزارش های رد شده ]])</f>
        <v>18</v>
      </c>
      <c r="H299" s="6">
        <v>18</v>
      </c>
      <c r="I299" s="6">
        <v>0</v>
      </c>
    </row>
    <row r="300" spans="1:9">
      <c r="A300" s="6">
        <v>299</v>
      </c>
      <c r="B300" s="4" t="s">
        <v>367</v>
      </c>
      <c r="C300" s="6" t="s">
        <v>0</v>
      </c>
      <c r="D300" s="6" t="s">
        <v>445</v>
      </c>
      <c r="E300" s="8">
        <v>0.45833333333333331</v>
      </c>
      <c r="F300" s="6">
        <v>12</v>
      </c>
      <c r="G300" s="6">
        <f>SUM(Table1[[#This Row],[گزارش های تایید شده ]],Table1[[#This Row],[گزارش های رد شده ]])</f>
        <v>25</v>
      </c>
      <c r="H300" s="6">
        <v>20</v>
      </c>
      <c r="I300" s="6">
        <v>5</v>
      </c>
    </row>
    <row r="301" spans="1:9">
      <c r="A301" s="6">
        <v>300</v>
      </c>
      <c r="B301" s="4" t="s">
        <v>368</v>
      </c>
      <c r="C301" s="6" t="s">
        <v>2</v>
      </c>
      <c r="D301" s="6" t="s">
        <v>446</v>
      </c>
      <c r="E301" s="8">
        <v>0.41666666666666669</v>
      </c>
      <c r="F301" s="6">
        <v>13</v>
      </c>
      <c r="G301" s="6">
        <f>SUM(Table1[[#This Row],[گزارش های تایید شده ]],Table1[[#This Row],[گزارش های رد شده ]])</f>
        <v>22</v>
      </c>
      <c r="H301" s="6">
        <v>20</v>
      </c>
      <c r="I301" s="6">
        <v>2</v>
      </c>
    </row>
    <row r="302" spans="1:9">
      <c r="A302" s="6">
        <v>301</v>
      </c>
      <c r="B302" s="4" t="s">
        <v>369</v>
      </c>
      <c r="C302" s="6" t="s">
        <v>1</v>
      </c>
      <c r="D302" s="6" t="s">
        <v>445</v>
      </c>
      <c r="E302" s="8">
        <v>0.33333333333333331</v>
      </c>
      <c r="F302" s="6">
        <v>10</v>
      </c>
      <c r="G302" s="6">
        <f>SUM(Table1[[#This Row],[گزارش های تایید شده ]],Table1[[#This Row],[گزارش های رد شده ]])</f>
        <v>23</v>
      </c>
      <c r="H302" s="6">
        <v>19</v>
      </c>
      <c r="I302" s="6">
        <v>4</v>
      </c>
    </row>
    <row r="303" spans="1:9">
      <c r="A303" s="6">
        <v>302</v>
      </c>
      <c r="B303" s="4" t="s">
        <v>370</v>
      </c>
      <c r="C303" s="6" t="s">
        <v>0</v>
      </c>
      <c r="D303" s="6" t="s">
        <v>445</v>
      </c>
      <c r="E303" s="8">
        <v>0.41666666666666669</v>
      </c>
      <c r="F303" s="6">
        <v>11</v>
      </c>
      <c r="G303" s="6">
        <f>SUM(Table1[[#This Row],[گزارش های تایید شده ]],Table1[[#This Row],[گزارش های رد شده ]])</f>
        <v>20</v>
      </c>
      <c r="H303" s="6">
        <v>18</v>
      </c>
      <c r="I303" s="6">
        <v>2</v>
      </c>
    </row>
    <row r="304" spans="1:9">
      <c r="A304" s="6">
        <v>303</v>
      </c>
      <c r="B304" s="4" t="s">
        <v>371</v>
      </c>
      <c r="C304" s="6" t="s">
        <v>2</v>
      </c>
      <c r="D304" s="6" t="s">
        <v>445</v>
      </c>
      <c r="E304" s="8">
        <v>0.70833333333333337</v>
      </c>
      <c r="F304" s="6">
        <v>13</v>
      </c>
      <c r="G304" s="6">
        <f>SUM(Table1[[#This Row],[گزارش های تایید شده ]],Table1[[#This Row],[گزارش های رد شده ]])</f>
        <v>20</v>
      </c>
      <c r="H304" s="6">
        <v>19</v>
      </c>
      <c r="I304" s="6">
        <v>1</v>
      </c>
    </row>
    <row r="305" spans="1:9">
      <c r="A305" s="6">
        <v>304</v>
      </c>
      <c r="B305" s="4" t="s">
        <v>372</v>
      </c>
      <c r="C305" s="6" t="s">
        <v>1</v>
      </c>
      <c r="D305" s="6" t="s">
        <v>445</v>
      </c>
      <c r="E305" s="8">
        <v>0.58333333333333337</v>
      </c>
      <c r="F305" s="6">
        <v>9</v>
      </c>
      <c r="G305" s="6">
        <f>SUM(Table1[[#This Row],[گزارش های تایید شده ]],Table1[[#This Row],[گزارش های رد شده ]])</f>
        <v>21</v>
      </c>
      <c r="H305" s="6">
        <v>19</v>
      </c>
      <c r="I305" s="6">
        <v>2</v>
      </c>
    </row>
    <row r="306" spans="1:9">
      <c r="A306" s="6">
        <v>305</v>
      </c>
      <c r="B306" s="4" t="s">
        <v>373</v>
      </c>
      <c r="C306" s="6" t="s">
        <v>0</v>
      </c>
      <c r="D306" s="6" t="s">
        <v>446</v>
      </c>
      <c r="E306" s="8">
        <v>0.70833333333333337</v>
      </c>
      <c r="F306" s="6">
        <v>14</v>
      </c>
      <c r="G306" s="6">
        <f>SUM(Table1[[#This Row],[گزارش های تایید شده ]],Table1[[#This Row],[گزارش های رد شده ]])</f>
        <v>24</v>
      </c>
      <c r="H306" s="6">
        <v>19</v>
      </c>
      <c r="I306" s="6">
        <v>5</v>
      </c>
    </row>
    <row r="307" spans="1:9">
      <c r="A307" s="6">
        <v>306</v>
      </c>
      <c r="B307" s="4" t="s">
        <v>374</v>
      </c>
      <c r="C307" s="6" t="s">
        <v>2</v>
      </c>
      <c r="D307" s="6" t="s">
        <v>445</v>
      </c>
      <c r="E307" s="8">
        <v>0.375</v>
      </c>
      <c r="F307" s="6">
        <v>13</v>
      </c>
      <c r="G307" s="6">
        <f>SUM(Table1[[#This Row],[گزارش های تایید شده ]],Table1[[#This Row],[گزارش های رد شده ]])</f>
        <v>19</v>
      </c>
      <c r="H307" s="6">
        <v>17</v>
      </c>
      <c r="I307" s="6">
        <v>2</v>
      </c>
    </row>
    <row r="308" spans="1:9">
      <c r="A308" s="6">
        <v>307</v>
      </c>
      <c r="B308" s="4" t="s">
        <v>375</v>
      </c>
      <c r="C308" s="6" t="s">
        <v>1</v>
      </c>
      <c r="D308" s="6" t="s">
        <v>445</v>
      </c>
      <c r="E308" s="8">
        <v>0.5</v>
      </c>
      <c r="F308" s="6">
        <v>14</v>
      </c>
      <c r="G308" s="6">
        <f>SUM(Table1[[#This Row],[گزارش های تایید شده ]],Table1[[#This Row],[گزارش های رد شده ]])</f>
        <v>19</v>
      </c>
      <c r="H308" s="6">
        <v>18</v>
      </c>
      <c r="I308" s="6">
        <v>1</v>
      </c>
    </row>
    <row r="309" spans="1:9">
      <c r="A309" s="6">
        <v>308</v>
      </c>
      <c r="B309" s="4" t="s">
        <v>376</v>
      </c>
      <c r="C309" s="6" t="s">
        <v>0</v>
      </c>
      <c r="D309" s="6" t="s">
        <v>445</v>
      </c>
      <c r="E309" s="8">
        <v>0.70833333333333337</v>
      </c>
      <c r="F309" s="6">
        <v>10</v>
      </c>
      <c r="G309" s="6">
        <f>SUM(Table1[[#This Row],[گزارش های تایید شده ]],Table1[[#This Row],[گزارش های رد شده ]])</f>
        <v>19</v>
      </c>
      <c r="H309" s="6">
        <v>19</v>
      </c>
      <c r="I309" s="6">
        <v>0</v>
      </c>
    </row>
    <row r="310" spans="1:9">
      <c r="A310" s="6">
        <v>309</v>
      </c>
      <c r="B310" s="4" t="s">
        <v>377</v>
      </c>
      <c r="C310" s="6" t="s">
        <v>2</v>
      </c>
      <c r="D310" s="6" t="s">
        <v>445</v>
      </c>
      <c r="E310" s="8">
        <v>0.58333333333333337</v>
      </c>
      <c r="F310" s="6">
        <v>12</v>
      </c>
      <c r="G310" s="6">
        <f>SUM(Table1[[#This Row],[گزارش های تایید شده ]],Table1[[#This Row],[گزارش های رد شده ]])</f>
        <v>23</v>
      </c>
      <c r="H310" s="6">
        <v>20</v>
      </c>
      <c r="I310" s="6">
        <v>3</v>
      </c>
    </row>
    <row r="311" spans="1:9">
      <c r="A311" s="6">
        <v>310</v>
      </c>
      <c r="B311" s="4" t="s">
        <v>378</v>
      </c>
      <c r="C311" s="6" t="s">
        <v>1</v>
      </c>
      <c r="D311" s="6" t="s">
        <v>446</v>
      </c>
      <c r="E311" s="8">
        <v>0.83333333333333337</v>
      </c>
      <c r="F311" s="6">
        <v>15</v>
      </c>
      <c r="G311" s="6">
        <f>SUM(Table1[[#This Row],[گزارش های تایید شده ]],Table1[[#This Row],[گزارش های رد شده ]])</f>
        <v>23</v>
      </c>
      <c r="H311" s="6">
        <v>18</v>
      </c>
      <c r="I311" s="6">
        <v>5</v>
      </c>
    </row>
    <row r="312" spans="1:9">
      <c r="A312" s="6">
        <v>311</v>
      </c>
      <c r="B312" s="4" t="s">
        <v>379</v>
      </c>
      <c r="C312" s="6" t="s">
        <v>0</v>
      </c>
      <c r="D312" s="6" t="s">
        <v>446</v>
      </c>
      <c r="E312" s="8">
        <v>0.54166666666666663</v>
      </c>
      <c r="F312" s="6">
        <v>14</v>
      </c>
      <c r="G312" s="6">
        <f>SUM(Table1[[#This Row],[گزارش های تایید شده ]],Table1[[#This Row],[گزارش های رد شده ]])</f>
        <v>19</v>
      </c>
      <c r="H312" s="6">
        <v>19</v>
      </c>
      <c r="I312" s="6">
        <v>0</v>
      </c>
    </row>
    <row r="313" spans="1:9">
      <c r="A313" s="6">
        <v>312</v>
      </c>
      <c r="B313" s="4" t="s">
        <v>380</v>
      </c>
      <c r="C313" s="6" t="s">
        <v>2</v>
      </c>
      <c r="D313" s="6" t="s">
        <v>446</v>
      </c>
      <c r="E313" s="8">
        <v>0.83333333333333337</v>
      </c>
      <c r="F313" s="6">
        <v>15</v>
      </c>
      <c r="G313" s="6">
        <f>SUM(Table1[[#This Row],[گزارش های تایید شده ]],Table1[[#This Row],[گزارش های رد شده ]])</f>
        <v>20</v>
      </c>
      <c r="H313" s="6">
        <v>19</v>
      </c>
      <c r="I313" s="6">
        <v>1</v>
      </c>
    </row>
    <row r="314" spans="1:9">
      <c r="A314" s="6">
        <v>313</v>
      </c>
      <c r="B314" s="4" t="s">
        <v>381</v>
      </c>
      <c r="C314" s="6" t="s">
        <v>1</v>
      </c>
      <c r="D314" s="6" t="s">
        <v>445</v>
      </c>
      <c r="E314" s="8">
        <v>0.375</v>
      </c>
      <c r="F314" s="6">
        <v>12</v>
      </c>
      <c r="G314" s="6">
        <f>SUM(Table1[[#This Row],[گزارش های تایید شده ]],Table1[[#This Row],[گزارش های رد شده ]])</f>
        <v>24</v>
      </c>
      <c r="H314" s="6">
        <v>19</v>
      </c>
      <c r="I314" s="6">
        <v>5</v>
      </c>
    </row>
    <row r="315" spans="1:9">
      <c r="A315" s="6">
        <v>314</v>
      </c>
      <c r="B315" s="4" t="s">
        <v>382</v>
      </c>
      <c r="C315" s="6" t="s">
        <v>0</v>
      </c>
      <c r="D315" s="6" t="s">
        <v>446</v>
      </c>
      <c r="E315" s="8">
        <v>0.83333333333333337</v>
      </c>
      <c r="F315" s="6">
        <v>9</v>
      </c>
      <c r="G315" s="6">
        <f>SUM(Table1[[#This Row],[گزارش های تایید شده ]],Table1[[#This Row],[گزارش های رد شده ]])</f>
        <v>21</v>
      </c>
      <c r="H315" s="6">
        <v>17</v>
      </c>
      <c r="I315" s="6">
        <v>4</v>
      </c>
    </row>
    <row r="316" spans="1:9">
      <c r="A316" s="6">
        <v>315</v>
      </c>
      <c r="B316" s="4" t="s">
        <v>383</v>
      </c>
      <c r="C316" s="6" t="s">
        <v>2</v>
      </c>
      <c r="D316" s="6" t="s">
        <v>445</v>
      </c>
      <c r="E316" s="8">
        <v>0.79166666666666663</v>
      </c>
      <c r="F316" s="6">
        <v>11</v>
      </c>
      <c r="G316" s="6">
        <f>SUM(Table1[[#This Row],[گزارش های تایید شده ]],Table1[[#This Row],[گزارش های رد شده ]])</f>
        <v>23</v>
      </c>
      <c r="H316" s="6">
        <v>20</v>
      </c>
      <c r="I316" s="6">
        <v>3</v>
      </c>
    </row>
    <row r="317" spans="1:9">
      <c r="A317" s="6">
        <v>316</v>
      </c>
      <c r="B317" s="4" t="s">
        <v>384</v>
      </c>
      <c r="C317" s="6" t="s">
        <v>1</v>
      </c>
      <c r="D317" s="6" t="s">
        <v>446</v>
      </c>
      <c r="E317" s="8">
        <v>0.75</v>
      </c>
      <c r="F317" s="6">
        <v>11</v>
      </c>
      <c r="G317" s="6">
        <f>SUM(Table1[[#This Row],[گزارش های تایید شده ]],Table1[[#This Row],[گزارش های رد شده ]])</f>
        <v>25</v>
      </c>
      <c r="H317" s="6">
        <v>20</v>
      </c>
      <c r="I317" s="6">
        <v>5</v>
      </c>
    </row>
    <row r="318" spans="1:9">
      <c r="A318" s="6">
        <v>317</v>
      </c>
      <c r="B318" s="4" t="s">
        <v>385</v>
      </c>
      <c r="C318" s="6" t="s">
        <v>0</v>
      </c>
      <c r="D318" s="6" t="s">
        <v>446</v>
      </c>
      <c r="E318" s="8">
        <v>0.375</v>
      </c>
      <c r="F318" s="6">
        <v>13</v>
      </c>
      <c r="G318" s="6">
        <f>SUM(Table1[[#This Row],[گزارش های تایید شده ]],Table1[[#This Row],[گزارش های رد شده ]])</f>
        <v>21</v>
      </c>
      <c r="H318" s="6">
        <v>18</v>
      </c>
      <c r="I318" s="6">
        <v>3</v>
      </c>
    </row>
    <row r="319" spans="1:9">
      <c r="A319" s="6">
        <v>318</v>
      </c>
      <c r="B319" s="4" t="s">
        <v>386</v>
      </c>
      <c r="C319" s="6" t="s">
        <v>2</v>
      </c>
      <c r="D319" s="6" t="s">
        <v>445</v>
      </c>
      <c r="E319" s="8">
        <v>0.70833333333333337</v>
      </c>
      <c r="F319" s="6">
        <v>15</v>
      </c>
      <c r="G319" s="6">
        <f>SUM(Table1[[#This Row],[گزارش های تایید شده ]],Table1[[#This Row],[گزارش های رد شده ]])</f>
        <v>22</v>
      </c>
      <c r="H319" s="6">
        <v>19</v>
      </c>
      <c r="I319" s="6">
        <v>3</v>
      </c>
    </row>
    <row r="320" spans="1:9">
      <c r="A320" s="6">
        <v>319</v>
      </c>
      <c r="B320" s="4" t="s">
        <v>387</v>
      </c>
      <c r="C320" s="6" t="s">
        <v>1</v>
      </c>
      <c r="D320" s="6" t="s">
        <v>445</v>
      </c>
      <c r="E320" s="8">
        <v>0.58333333333333337</v>
      </c>
      <c r="F320" s="6">
        <v>10</v>
      </c>
      <c r="G320" s="6">
        <f>SUM(Table1[[#This Row],[گزارش های تایید شده ]],Table1[[#This Row],[گزارش های رد شده ]])</f>
        <v>19</v>
      </c>
      <c r="H320" s="6">
        <v>19</v>
      </c>
      <c r="I320" s="6">
        <v>0</v>
      </c>
    </row>
    <row r="321" spans="1:9">
      <c r="A321" s="6">
        <v>320</v>
      </c>
      <c r="B321" s="4" t="s">
        <v>388</v>
      </c>
      <c r="C321" s="6" t="s">
        <v>0</v>
      </c>
      <c r="D321" s="6" t="s">
        <v>445</v>
      </c>
      <c r="E321" s="8">
        <v>0.625</v>
      </c>
      <c r="F321" s="6">
        <v>8</v>
      </c>
      <c r="G321" s="6">
        <f>SUM(Table1[[#This Row],[گزارش های تایید شده ]],Table1[[#This Row],[گزارش های رد شده ]])</f>
        <v>17</v>
      </c>
      <c r="H321" s="6">
        <v>17</v>
      </c>
      <c r="I321" s="6">
        <v>0</v>
      </c>
    </row>
    <row r="322" spans="1:9">
      <c r="A322" s="6">
        <v>321</v>
      </c>
      <c r="B322" s="4" t="s">
        <v>389</v>
      </c>
      <c r="C322" s="6" t="s">
        <v>2</v>
      </c>
      <c r="D322" s="6" t="s">
        <v>446</v>
      </c>
      <c r="E322" s="8">
        <v>0.83333333333333337</v>
      </c>
      <c r="F322" s="6">
        <v>14</v>
      </c>
      <c r="G322" s="6">
        <f>SUM(Table1[[#This Row],[گزارش های تایید شده ]],Table1[[#This Row],[گزارش های رد شده ]])</f>
        <v>20</v>
      </c>
      <c r="H322" s="6">
        <v>19</v>
      </c>
      <c r="I322" s="6">
        <v>1</v>
      </c>
    </row>
    <row r="323" spans="1:9">
      <c r="A323" s="6">
        <v>322</v>
      </c>
      <c r="B323" s="4" t="s">
        <v>390</v>
      </c>
      <c r="C323" s="6" t="s">
        <v>1</v>
      </c>
      <c r="D323" s="6" t="s">
        <v>445</v>
      </c>
      <c r="E323" s="8">
        <v>0.375</v>
      </c>
      <c r="F323" s="6">
        <v>13</v>
      </c>
      <c r="G323" s="6">
        <f>SUM(Table1[[#This Row],[گزارش های تایید شده ]],Table1[[#This Row],[گزارش های رد شده ]])</f>
        <v>21</v>
      </c>
      <c r="H323" s="6">
        <v>19</v>
      </c>
      <c r="I323" s="6">
        <v>2</v>
      </c>
    </row>
    <row r="324" spans="1:9">
      <c r="A324" s="6">
        <v>323</v>
      </c>
      <c r="B324" s="4" t="s">
        <v>391</v>
      </c>
      <c r="C324" s="6" t="s">
        <v>0</v>
      </c>
      <c r="D324" s="6" t="s">
        <v>445</v>
      </c>
      <c r="E324" s="8">
        <v>0.5</v>
      </c>
      <c r="F324" s="6">
        <v>12</v>
      </c>
      <c r="G324" s="6">
        <f>SUM(Table1[[#This Row],[گزارش های تایید شده ]],Table1[[#This Row],[گزارش های رد شده ]])</f>
        <v>21</v>
      </c>
      <c r="H324" s="6">
        <v>19</v>
      </c>
      <c r="I324" s="6">
        <v>2</v>
      </c>
    </row>
    <row r="325" spans="1:9">
      <c r="A325" s="6">
        <v>324</v>
      </c>
      <c r="B325" s="4" t="s">
        <v>392</v>
      </c>
      <c r="C325" s="6" t="s">
        <v>2</v>
      </c>
      <c r="D325" s="6" t="s">
        <v>445</v>
      </c>
      <c r="E325" s="8">
        <v>0.75</v>
      </c>
      <c r="F325" s="6">
        <v>11</v>
      </c>
      <c r="G325" s="6">
        <f>SUM(Table1[[#This Row],[گزارش های تایید شده ]],Table1[[#This Row],[گزارش های رد شده ]])</f>
        <v>23</v>
      </c>
      <c r="H325" s="6">
        <v>18</v>
      </c>
      <c r="I325" s="6">
        <v>5</v>
      </c>
    </row>
    <row r="326" spans="1:9">
      <c r="A326" s="6">
        <v>325</v>
      </c>
      <c r="B326" s="4" t="s">
        <v>393</v>
      </c>
      <c r="C326" s="6" t="s">
        <v>1</v>
      </c>
      <c r="D326" s="6" t="s">
        <v>446</v>
      </c>
      <c r="E326" s="8">
        <v>0.41666666666666669</v>
      </c>
      <c r="F326" s="6">
        <v>15</v>
      </c>
      <c r="G326" s="6">
        <f>SUM(Table1[[#This Row],[گزارش های تایید شده ]],Table1[[#This Row],[گزارش های رد شده ]])</f>
        <v>18</v>
      </c>
      <c r="H326" s="6">
        <v>18</v>
      </c>
      <c r="I326" s="6">
        <v>0</v>
      </c>
    </row>
    <row r="327" spans="1:9">
      <c r="A327" s="6">
        <v>326</v>
      </c>
      <c r="B327" s="4" t="s">
        <v>394</v>
      </c>
      <c r="C327" s="6" t="s">
        <v>0</v>
      </c>
      <c r="D327" s="6" t="s">
        <v>445</v>
      </c>
      <c r="E327" s="8">
        <v>0.41666666666666669</v>
      </c>
      <c r="F327" s="6">
        <v>14</v>
      </c>
      <c r="G327" s="6">
        <f>SUM(Table1[[#This Row],[گزارش های تایید شده ]],Table1[[#This Row],[گزارش های رد شده ]])</f>
        <v>24</v>
      </c>
      <c r="H327" s="6">
        <v>19</v>
      </c>
      <c r="I327" s="6">
        <v>5</v>
      </c>
    </row>
    <row r="328" spans="1:9">
      <c r="A328" s="6">
        <v>327</v>
      </c>
      <c r="B328" s="4" t="s">
        <v>395</v>
      </c>
      <c r="C328" s="6" t="s">
        <v>2</v>
      </c>
      <c r="D328" s="6" t="s">
        <v>445</v>
      </c>
      <c r="E328" s="8">
        <v>0.33333333333333331</v>
      </c>
      <c r="F328" s="6">
        <v>10</v>
      </c>
      <c r="G328" s="6">
        <f>SUM(Table1[[#This Row],[گزارش های تایید شده ]],Table1[[#This Row],[گزارش های رد شده ]])</f>
        <v>20</v>
      </c>
      <c r="H328" s="6">
        <v>17</v>
      </c>
      <c r="I328" s="6">
        <v>3</v>
      </c>
    </row>
    <row r="329" spans="1:9">
      <c r="A329" s="6">
        <v>328</v>
      </c>
      <c r="B329" s="4" t="s">
        <v>396</v>
      </c>
      <c r="C329" s="6" t="s">
        <v>1</v>
      </c>
      <c r="D329" s="6" t="s">
        <v>446</v>
      </c>
      <c r="E329" s="8">
        <v>0.70833333333333337</v>
      </c>
      <c r="F329" s="6">
        <v>15</v>
      </c>
      <c r="G329" s="6">
        <f>SUM(Table1[[#This Row],[گزارش های تایید شده ]],Table1[[#This Row],[گزارش های رد شده ]])</f>
        <v>24</v>
      </c>
      <c r="H329" s="6">
        <v>19</v>
      </c>
      <c r="I329" s="6">
        <v>5</v>
      </c>
    </row>
    <row r="330" spans="1:9">
      <c r="A330" s="6">
        <v>329</v>
      </c>
      <c r="B330" s="4" t="s">
        <v>397</v>
      </c>
      <c r="C330" s="6" t="s">
        <v>0</v>
      </c>
      <c r="D330" s="6" t="s">
        <v>446</v>
      </c>
      <c r="E330" s="8">
        <v>0.41666666666666669</v>
      </c>
      <c r="F330" s="6">
        <v>13</v>
      </c>
      <c r="G330" s="6">
        <f>SUM(Table1[[#This Row],[گزارش های تایید شده ]],Table1[[#This Row],[گزارش های رد شده ]])</f>
        <v>18</v>
      </c>
      <c r="H330" s="6">
        <v>18</v>
      </c>
      <c r="I330" s="6">
        <v>0</v>
      </c>
    </row>
    <row r="331" spans="1:9">
      <c r="A331" s="6">
        <v>330</v>
      </c>
      <c r="B331" s="4" t="s">
        <v>398</v>
      </c>
      <c r="C331" s="6" t="s">
        <v>2</v>
      </c>
      <c r="D331" s="6" t="s">
        <v>445</v>
      </c>
      <c r="E331" s="8">
        <v>0.54166666666666663</v>
      </c>
      <c r="F331" s="6">
        <v>12</v>
      </c>
      <c r="G331" s="6">
        <f>SUM(Table1[[#This Row],[گزارش های تایید شده ]],Table1[[#This Row],[گزارش های رد شده ]])</f>
        <v>18</v>
      </c>
      <c r="H331" s="6">
        <v>17</v>
      </c>
      <c r="I331" s="6">
        <v>1</v>
      </c>
    </row>
    <row r="332" spans="1:9">
      <c r="A332" s="6">
        <v>331</v>
      </c>
      <c r="B332" s="4" t="s">
        <v>399</v>
      </c>
      <c r="C332" s="6" t="s">
        <v>1</v>
      </c>
      <c r="D332" s="6" t="s">
        <v>445</v>
      </c>
      <c r="E332" s="8">
        <v>0.625</v>
      </c>
      <c r="F332" s="6">
        <v>13</v>
      </c>
      <c r="G332" s="6">
        <f>SUM(Table1[[#This Row],[گزارش های تایید شده ]],Table1[[#This Row],[گزارش های رد شده ]])</f>
        <v>22</v>
      </c>
      <c r="H332" s="6">
        <v>17</v>
      </c>
      <c r="I332" s="6">
        <v>5</v>
      </c>
    </row>
    <row r="333" spans="1:9">
      <c r="A333" s="6">
        <v>332</v>
      </c>
      <c r="B333" s="4" t="s">
        <v>400</v>
      </c>
      <c r="C333" s="6" t="s">
        <v>0</v>
      </c>
      <c r="D333" s="6" t="s">
        <v>446</v>
      </c>
      <c r="E333" s="8">
        <v>0.66666666666666663</v>
      </c>
      <c r="F333" s="6">
        <v>15</v>
      </c>
      <c r="G333" s="6">
        <f>SUM(Table1[[#This Row],[گزارش های تایید شده ]],Table1[[#This Row],[گزارش های رد شده ]])</f>
        <v>23</v>
      </c>
      <c r="H333" s="6">
        <v>20</v>
      </c>
      <c r="I333" s="6">
        <v>3</v>
      </c>
    </row>
    <row r="334" spans="1:9">
      <c r="A334" s="6">
        <v>333</v>
      </c>
      <c r="B334" s="4" t="s">
        <v>401</v>
      </c>
      <c r="C334" s="6" t="s">
        <v>2</v>
      </c>
      <c r="D334" s="6" t="s">
        <v>446</v>
      </c>
      <c r="E334" s="8">
        <v>0.58333333333333337</v>
      </c>
      <c r="F334" s="6">
        <v>11</v>
      </c>
      <c r="G334" s="6">
        <f>SUM(Table1[[#This Row],[گزارش های تایید شده ]],Table1[[#This Row],[گزارش های رد شده ]])</f>
        <v>23</v>
      </c>
      <c r="H334" s="6">
        <v>20</v>
      </c>
      <c r="I334" s="6">
        <v>3</v>
      </c>
    </row>
    <row r="335" spans="1:9">
      <c r="A335" s="6">
        <v>334</v>
      </c>
      <c r="B335" s="4" t="s">
        <v>402</v>
      </c>
      <c r="C335" s="6" t="s">
        <v>1</v>
      </c>
      <c r="D335" s="6" t="s">
        <v>446</v>
      </c>
      <c r="E335" s="8">
        <v>0.45833333333333331</v>
      </c>
      <c r="F335" s="6">
        <v>12</v>
      </c>
      <c r="G335" s="6">
        <f>SUM(Table1[[#This Row],[گزارش های تایید شده ]],Table1[[#This Row],[گزارش های رد شده ]])</f>
        <v>19</v>
      </c>
      <c r="H335" s="6">
        <v>17</v>
      </c>
      <c r="I335" s="6">
        <v>2</v>
      </c>
    </row>
    <row r="336" spans="1:9">
      <c r="A336" s="6">
        <v>335</v>
      </c>
      <c r="B336" s="4" t="s">
        <v>403</v>
      </c>
      <c r="C336" s="6" t="s">
        <v>0</v>
      </c>
      <c r="D336" s="6" t="s">
        <v>445</v>
      </c>
      <c r="E336" s="8">
        <v>0.83333333333333337</v>
      </c>
      <c r="F336" s="6">
        <v>12</v>
      </c>
      <c r="G336" s="6">
        <f>SUM(Table1[[#This Row],[گزارش های تایید شده ]],Table1[[#This Row],[گزارش های رد شده ]])</f>
        <v>24</v>
      </c>
      <c r="H336" s="6">
        <v>20</v>
      </c>
      <c r="I336" s="6">
        <v>4</v>
      </c>
    </row>
    <row r="337" spans="1:11">
      <c r="A337" s="6">
        <v>336</v>
      </c>
      <c r="B337" s="4" t="s">
        <v>404</v>
      </c>
      <c r="C337" s="6" t="s">
        <v>2</v>
      </c>
      <c r="D337" s="6" t="s">
        <v>445</v>
      </c>
      <c r="E337" s="8">
        <v>0.70833333333333337</v>
      </c>
      <c r="F337" s="6">
        <v>14</v>
      </c>
      <c r="G337" s="6">
        <f>SUM(Table1[[#This Row],[گزارش های تایید شده ]],Table1[[#This Row],[گزارش های رد شده ]])</f>
        <v>21</v>
      </c>
      <c r="H337" s="6">
        <v>17</v>
      </c>
      <c r="I337" s="6">
        <v>4</v>
      </c>
    </row>
    <row r="338" spans="1:11">
      <c r="A338" s="6">
        <v>337</v>
      </c>
      <c r="B338" s="4" t="s">
        <v>405</v>
      </c>
      <c r="C338" s="6" t="s">
        <v>1</v>
      </c>
      <c r="D338" s="6" t="s">
        <v>446</v>
      </c>
      <c r="E338" s="8">
        <v>0.625</v>
      </c>
      <c r="F338" s="6">
        <v>13</v>
      </c>
      <c r="G338" s="6">
        <f>SUM(Table1[[#This Row],[گزارش های تایید شده ]],Table1[[#This Row],[گزارش های رد شده ]])</f>
        <v>18</v>
      </c>
      <c r="H338" s="6">
        <v>18</v>
      </c>
      <c r="I338" s="6">
        <v>0</v>
      </c>
    </row>
    <row r="339" spans="1:11">
      <c r="A339" s="6">
        <v>338</v>
      </c>
      <c r="B339" s="4" t="s">
        <v>406</v>
      </c>
      <c r="C339" s="6" t="s">
        <v>0</v>
      </c>
      <c r="D339" s="6" t="s">
        <v>446</v>
      </c>
      <c r="E339" s="8">
        <v>0.375</v>
      </c>
      <c r="F339" s="6">
        <v>8</v>
      </c>
      <c r="G339" s="6">
        <f>SUM(Table1[[#This Row],[گزارش های تایید شده ]],Table1[[#This Row],[گزارش های رد شده ]])</f>
        <v>24</v>
      </c>
      <c r="H339" s="6">
        <v>19</v>
      </c>
      <c r="I339" s="6">
        <v>5</v>
      </c>
      <c r="K339" t="e">
        <f>rand</f>
        <v>#NAME?</v>
      </c>
    </row>
    <row r="340" spans="1:11">
      <c r="A340" s="6">
        <v>339</v>
      </c>
      <c r="B340" s="4" t="s">
        <v>407</v>
      </c>
      <c r="C340" s="6" t="s">
        <v>2</v>
      </c>
      <c r="D340" s="6" t="s">
        <v>445</v>
      </c>
      <c r="E340" s="8">
        <v>0.625</v>
      </c>
      <c r="F340" s="6">
        <v>11</v>
      </c>
      <c r="G340" s="6">
        <f>SUM(Table1[[#This Row],[گزارش های تایید شده ]],Table1[[#This Row],[گزارش های رد شده ]])</f>
        <v>22</v>
      </c>
      <c r="H340" s="6">
        <v>17</v>
      </c>
      <c r="I340" s="6">
        <v>5</v>
      </c>
    </row>
    <row r="341" spans="1:11">
      <c r="A341" s="6">
        <v>340</v>
      </c>
      <c r="B341" s="4" t="s">
        <v>408</v>
      </c>
      <c r="C341" s="6" t="s">
        <v>1</v>
      </c>
      <c r="D341" s="6" t="s">
        <v>446</v>
      </c>
      <c r="E341" s="8">
        <v>0.54166666666666663</v>
      </c>
      <c r="F341" s="6">
        <v>12</v>
      </c>
      <c r="G341" s="6">
        <f>SUM(Table1[[#This Row],[گزارش های تایید شده ]],Table1[[#This Row],[گزارش های رد شده ]])</f>
        <v>19</v>
      </c>
      <c r="H341" s="6">
        <v>17</v>
      </c>
      <c r="I341" s="6">
        <v>2</v>
      </c>
    </row>
    <row r="342" spans="1:11">
      <c r="A342" s="6">
        <v>341</v>
      </c>
      <c r="B342" s="4" t="s">
        <v>409</v>
      </c>
      <c r="C342" s="6" t="s">
        <v>0</v>
      </c>
      <c r="D342" s="6" t="s">
        <v>446</v>
      </c>
      <c r="E342" s="8">
        <v>0.79166666666666663</v>
      </c>
      <c r="F342" s="6">
        <v>14</v>
      </c>
      <c r="G342" s="6">
        <f>SUM(Table1[[#This Row],[گزارش های تایید شده ]],Table1[[#This Row],[گزارش های رد شده ]])</f>
        <v>23</v>
      </c>
      <c r="H342" s="6">
        <v>18</v>
      </c>
      <c r="I342" s="6">
        <v>5</v>
      </c>
    </row>
    <row r="343" spans="1:11">
      <c r="A343" s="6">
        <v>342</v>
      </c>
      <c r="B343" s="4" t="s">
        <v>410</v>
      </c>
      <c r="C343" s="6" t="s">
        <v>2</v>
      </c>
      <c r="D343" s="6" t="s">
        <v>445</v>
      </c>
      <c r="E343" s="8">
        <v>0.41666666666666669</v>
      </c>
      <c r="F343" s="6">
        <v>14</v>
      </c>
      <c r="G343" s="6">
        <f>SUM(Table1[[#This Row],[گزارش های تایید شده ]],Table1[[#This Row],[گزارش های رد شده ]])</f>
        <v>19</v>
      </c>
      <c r="H343" s="6">
        <v>17</v>
      </c>
      <c r="I343" s="6">
        <v>2</v>
      </c>
    </row>
    <row r="344" spans="1:11">
      <c r="A344" s="6">
        <v>343</v>
      </c>
      <c r="B344" s="4" t="s">
        <v>411</v>
      </c>
      <c r="C344" s="6" t="s">
        <v>1</v>
      </c>
      <c r="D344" s="6" t="s">
        <v>446</v>
      </c>
      <c r="E344" s="8">
        <v>0.58333333333333337</v>
      </c>
      <c r="F344" s="6">
        <v>14</v>
      </c>
      <c r="G344" s="6">
        <f>SUM(Table1[[#This Row],[گزارش های تایید شده ]],Table1[[#This Row],[گزارش های رد شده ]])</f>
        <v>21</v>
      </c>
      <c r="H344" s="6">
        <v>18</v>
      </c>
      <c r="I344" s="6">
        <v>3</v>
      </c>
    </row>
    <row r="345" spans="1:11">
      <c r="A345" s="6">
        <v>344</v>
      </c>
      <c r="B345" s="4" t="s">
        <v>412</v>
      </c>
      <c r="C345" s="6" t="s">
        <v>0</v>
      </c>
      <c r="D345" s="6" t="s">
        <v>446</v>
      </c>
      <c r="E345" s="8">
        <v>0.58333333333333337</v>
      </c>
      <c r="F345" s="6">
        <v>12</v>
      </c>
      <c r="G345" s="6">
        <f>SUM(Table1[[#This Row],[گزارش های تایید شده ]],Table1[[#This Row],[گزارش های رد شده ]])</f>
        <v>24</v>
      </c>
      <c r="H345" s="6">
        <v>19</v>
      </c>
      <c r="I345" s="6">
        <v>5</v>
      </c>
    </row>
    <row r="346" spans="1:11">
      <c r="A346" s="6">
        <v>345</v>
      </c>
      <c r="B346" s="4" t="s">
        <v>413</v>
      </c>
      <c r="C346" s="6" t="s">
        <v>2</v>
      </c>
      <c r="D346" s="6" t="s">
        <v>445</v>
      </c>
      <c r="E346" s="8">
        <v>0.66666666666666663</v>
      </c>
      <c r="F346" s="6">
        <v>15</v>
      </c>
      <c r="G346" s="6">
        <f>SUM(Table1[[#This Row],[گزارش های تایید شده ]],Table1[[#This Row],[گزارش های رد شده ]])</f>
        <v>19</v>
      </c>
      <c r="H346" s="6">
        <v>18</v>
      </c>
      <c r="I346" s="6">
        <v>1</v>
      </c>
    </row>
    <row r="347" spans="1:11">
      <c r="A347" s="6">
        <v>346</v>
      </c>
      <c r="B347" s="4" t="s">
        <v>414</v>
      </c>
      <c r="C347" s="6" t="s">
        <v>1</v>
      </c>
      <c r="D347" s="6" t="s">
        <v>446</v>
      </c>
      <c r="E347" s="8">
        <v>0.41666666666666669</v>
      </c>
      <c r="F347" s="6">
        <v>12</v>
      </c>
      <c r="G347" s="6">
        <f>SUM(Table1[[#This Row],[گزارش های تایید شده ]],Table1[[#This Row],[گزارش های رد شده ]])</f>
        <v>19</v>
      </c>
      <c r="H347" s="6">
        <v>17</v>
      </c>
      <c r="I347" s="6">
        <v>2</v>
      </c>
    </row>
    <row r="348" spans="1:11">
      <c r="A348" s="6">
        <v>347</v>
      </c>
      <c r="B348" s="4" t="s">
        <v>415</v>
      </c>
      <c r="C348" s="6" t="s">
        <v>0</v>
      </c>
      <c r="D348" s="6" t="s">
        <v>445</v>
      </c>
      <c r="E348" s="8">
        <v>0.625</v>
      </c>
      <c r="F348" s="6">
        <v>13</v>
      </c>
      <c r="G348" s="6">
        <f>SUM(Table1[[#This Row],[گزارش های تایید شده ]],Table1[[#This Row],[گزارش های رد شده ]])</f>
        <v>18</v>
      </c>
      <c r="H348" s="6">
        <v>17</v>
      </c>
      <c r="I348" s="6">
        <v>1</v>
      </c>
    </row>
    <row r="349" spans="1:11">
      <c r="A349" s="6">
        <v>348</v>
      </c>
      <c r="B349" s="4" t="s">
        <v>416</v>
      </c>
      <c r="C349" s="6" t="s">
        <v>2</v>
      </c>
      <c r="D349" s="6" t="s">
        <v>446</v>
      </c>
      <c r="E349" s="8">
        <v>0.45833333333333331</v>
      </c>
      <c r="F349" s="6">
        <v>8</v>
      </c>
      <c r="G349" s="6">
        <f>SUM(Table1[[#This Row],[گزارش های تایید شده ]],Table1[[#This Row],[گزارش های رد شده ]])</f>
        <v>18</v>
      </c>
      <c r="H349" s="6">
        <v>17</v>
      </c>
      <c r="I349" s="6">
        <v>1</v>
      </c>
    </row>
    <row r="350" spans="1:11">
      <c r="A350" s="6">
        <v>349</v>
      </c>
      <c r="B350" s="4" t="s">
        <v>417</v>
      </c>
      <c r="C350" s="6" t="s">
        <v>1</v>
      </c>
      <c r="D350" s="6" t="s">
        <v>446</v>
      </c>
      <c r="E350" s="8">
        <v>0.75</v>
      </c>
      <c r="F350" s="6">
        <v>13</v>
      </c>
      <c r="G350" s="6">
        <f>SUM(Table1[[#This Row],[گزارش های تایید شده ]],Table1[[#This Row],[گزارش های رد شده ]])</f>
        <v>19</v>
      </c>
      <c r="H350" s="6">
        <v>18</v>
      </c>
      <c r="I350" s="6">
        <v>1</v>
      </c>
    </row>
    <row r="351" spans="1:11">
      <c r="A351" s="6">
        <v>350</v>
      </c>
      <c r="B351" s="4" t="s">
        <v>418</v>
      </c>
      <c r="C351" s="6" t="s">
        <v>0</v>
      </c>
      <c r="D351" s="6" t="s">
        <v>445</v>
      </c>
      <c r="E351" s="8">
        <v>0.79166666666666663</v>
      </c>
      <c r="F351" s="6">
        <v>14</v>
      </c>
      <c r="G351" s="6">
        <f>SUM(Table1[[#This Row],[گزارش های تایید شده ]],Table1[[#This Row],[گزارش های رد شده ]])</f>
        <v>21</v>
      </c>
      <c r="H351" s="6">
        <v>17</v>
      </c>
      <c r="I351" s="6">
        <v>4</v>
      </c>
    </row>
    <row r="352" spans="1:11">
      <c r="A352" s="6">
        <v>351</v>
      </c>
      <c r="B352" s="4" t="s">
        <v>419</v>
      </c>
      <c r="C352" s="6" t="s">
        <v>2</v>
      </c>
      <c r="D352" s="6" t="s">
        <v>446</v>
      </c>
      <c r="E352" s="8">
        <v>0.41666666666666669</v>
      </c>
      <c r="F352" s="6">
        <v>12</v>
      </c>
      <c r="G352" s="6">
        <f>SUM(Table1[[#This Row],[گزارش های تایید شده ]],Table1[[#This Row],[گزارش های رد شده ]])</f>
        <v>22</v>
      </c>
      <c r="H352" s="6">
        <v>18</v>
      </c>
      <c r="I352" s="6">
        <v>4</v>
      </c>
    </row>
    <row r="353" spans="1:9">
      <c r="A353" s="6">
        <v>352</v>
      </c>
      <c r="B353" s="4" t="s">
        <v>420</v>
      </c>
      <c r="C353" s="6" t="s">
        <v>1</v>
      </c>
      <c r="D353" s="6" t="s">
        <v>445</v>
      </c>
      <c r="E353" s="8">
        <v>0.70833333333333337</v>
      </c>
      <c r="F353" s="6">
        <v>8</v>
      </c>
      <c r="G353" s="6">
        <f>SUM(Table1[[#This Row],[گزارش های تایید شده ]],Table1[[#This Row],[گزارش های رد شده ]])</f>
        <v>22</v>
      </c>
      <c r="H353" s="6">
        <v>20</v>
      </c>
      <c r="I353" s="6">
        <v>2</v>
      </c>
    </row>
    <row r="354" spans="1:9">
      <c r="A354" s="6">
        <v>353</v>
      </c>
      <c r="B354" s="4" t="s">
        <v>421</v>
      </c>
      <c r="C354" s="6" t="s">
        <v>0</v>
      </c>
      <c r="D354" s="6" t="s">
        <v>446</v>
      </c>
      <c r="E354" s="8">
        <v>0.41666666666666669</v>
      </c>
      <c r="F354" s="6">
        <v>13</v>
      </c>
      <c r="G354" s="6">
        <f>SUM(Table1[[#This Row],[گزارش های تایید شده ]],Table1[[#This Row],[گزارش های رد شده ]])</f>
        <v>21</v>
      </c>
      <c r="H354" s="6">
        <v>18</v>
      </c>
      <c r="I354" s="6">
        <v>3</v>
      </c>
    </row>
    <row r="355" spans="1:9">
      <c r="A355" s="6">
        <v>354</v>
      </c>
      <c r="B355" s="4" t="s">
        <v>422</v>
      </c>
      <c r="C355" s="6" t="s">
        <v>2</v>
      </c>
      <c r="D355" s="6" t="s">
        <v>445</v>
      </c>
      <c r="E355" s="8">
        <v>0.375</v>
      </c>
      <c r="F355" s="6">
        <v>8</v>
      </c>
      <c r="G355" s="6">
        <f>SUM(Table1[[#This Row],[گزارش های تایید شده ]],Table1[[#This Row],[گزارش های رد شده ]])</f>
        <v>18</v>
      </c>
      <c r="H355" s="6">
        <v>18</v>
      </c>
      <c r="I355" s="6">
        <v>0</v>
      </c>
    </row>
    <row r="356" spans="1:9">
      <c r="A356" s="6">
        <v>355</v>
      </c>
      <c r="B356" s="4" t="s">
        <v>423</v>
      </c>
      <c r="C356" s="6" t="s">
        <v>1</v>
      </c>
      <c r="D356" s="6" t="s">
        <v>445</v>
      </c>
      <c r="E356" s="8">
        <v>0.54166666666666663</v>
      </c>
      <c r="F356" s="6">
        <v>15</v>
      </c>
      <c r="G356" s="6">
        <f>SUM(Table1[[#This Row],[گزارش های تایید شده ]],Table1[[#This Row],[گزارش های رد شده ]])</f>
        <v>21</v>
      </c>
      <c r="H356" s="6">
        <v>17</v>
      </c>
      <c r="I356" s="6">
        <v>4</v>
      </c>
    </row>
    <row r="357" spans="1:9">
      <c r="A357" s="6">
        <v>356</v>
      </c>
      <c r="B357" s="4" t="s">
        <v>424</v>
      </c>
      <c r="C357" s="6" t="s">
        <v>0</v>
      </c>
      <c r="D357" s="6" t="s">
        <v>445</v>
      </c>
      <c r="E357" s="8">
        <v>0.375</v>
      </c>
      <c r="F357" s="6">
        <v>14</v>
      </c>
      <c r="G357" s="6">
        <f>SUM(Table1[[#This Row],[گزارش های تایید شده ]],Table1[[#This Row],[گزارش های رد شده ]])</f>
        <v>18</v>
      </c>
      <c r="H357" s="6">
        <v>17</v>
      </c>
      <c r="I357" s="6">
        <v>1</v>
      </c>
    </row>
    <row r="358" spans="1:9">
      <c r="A358" s="6">
        <v>357</v>
      </c>
      <c r="B358" s="4" t="s">
        <v>425</v>
      </c>
      <c r="C358" s="6" t="s">
        <v>2</v>
      </c>
      <c r="D358" s="6" t="s">
        <v>445</v>
      </c>
      <c r="E358" s="8">
        <v>0.79166666666666663</v>
      </c>
      <c r="F358" s="6">
        <v>9</v>
      </c>
      <c r="G358" s="6">
        <f>SUM(Table1[[#This Row],[گزارش های تایید شده ]],Table1[[#This Row],[گزارش های رد شده ]])</f>
        <v>17</v>
      </c>
      <c r="H358" s="6">
        <v>17</v>
      </c>
      <c r="I358" s="6">
        <v>0</v>
      </c>
    </row>
    <row r="359" spans="1:9">
      <c r="A359" s="6">
        <v>358</v>
      </c>
      <c r="B359" s="4" t="s">
        <v>426</v>
      </c>
      <c r="C359" s="6" t="s">
        <v>1</v>
      </c>
      <c r="D359" s="6" t="s">
        <v>445</v>
      </c>
      <c r="E359" s="8">
        <v>0.5</v>
      </c>
      <c r="F359" s="6">
        <v>9</v>
      </c>
      <c r="G359" s="6">
        <f>SUM(Table1[[#This Row],[گزارش های تایید شده ]],Table1[[#This Row],[گزارش های رد شده ]])</f>
        <v>24</v>
      </c>
      <c r="H359" s="6">
        <v>20</v>
      </c>
      <c r="I359" s="6">
        <v>4</v>
      </c>
    </row>
    <row r="360" spans="1:9">
      <c r="A360" s="21"/>
      <c r="B360" s="46"/>
      <c r="C360" s="21"/>
      <c r="D360" s="47"/>
      <c r="E360" s="48"/>
      <c r="F360" s="47"/>
      <c r="G360" s="47"/>
      <c r="I360" s="47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53"/>
  <sheetViews>
    <sheetView topLeftCell="A4" workbookViewId="0">
      <selection activeCell="H2" sqref="H2"/>
    </sheetView>
  </sheetViews>
  <sheetFormatPr defaultRowHeight="14.4"/>
  <cols>
    <col min="1" max="1" width="21.109375" style="1" bestFit="1" customWidth="1"/>
    <col min="2" max="2" width="22.6640625" style="1" bestFit="1" customWidth="1"/>
    <col min="3" max="3" width="15.6640625" style="1" bestFit="1" customWidth="1"/>
    <col min="4" max="4" width="23.6640625" style="1" customWidth="1"/>
    <col min="5" max="5" width="16" style="1" bestFit="1" customWidth="1"/>
    <col min="6" max="6" width="14.6640625" style="1" bestFit="1" customWidth="1"/>
    <col min="7" max="7" width="13" style="1" bestFit="1" customWidth="1"/>
    <col min="8" max="8" width="20.109375" style="1" bestFit="1" customWidth="1"/>
    <col min="9" max="16384" width="8.88671875" style="1"/>
  </cols>
  <sheetData>
    <row r="1" spans="1:8">
      <c r="A1"/>
      <c r="B1"/>
      <c r="C1"/>
      <c r="D1"/>
      <c r="E1"/>
      <c r="F1"/>
      <c r="G1"/>
      <c r="H1"/>
    </row>
    <row r="2" spans="1:8" ht="17.399999999999999">
      <c r="A2" s="49" t="s">
        <v>38</v>
      </c>
      <c r="B2" s="49" t="s">
        <v>56</v>
      </c>
      <c r="C2" s="49" t="s">
        <v>57</v>
      </c>
      <c r="D2" s="49" t="s">
        <v>58</v>
      </c>
      <c r="E2" s="49" t="s">
        <v>439</v>
      </c>
      <c r="F2" s="49" t="s">
        <v>470</v>
      </c>
      <c r="G2" s="49" t="s">
        <v>471</v>
      </c>
      <c r="H2" s="49" t="s">
        <v>506</v>
      </c>
    </row>
    <row r="3" spans="1:8">
      <c r="A3" s="17">
        <v>1</v>
      </c>
      <c r="B3" s="2" t="s">
        <v>428</v>
      </c>
      <c r="C3" s="2" t="s">
        <v>59</v>
      </c>
      <c r="D3" s="2" t="s">
        <v>427</v>
      </c>
      <c r="E3" s="2">
        <v>1</v>
      </c>
      <c r="F3" s="2">
        <v>103</v>
      </c>
      <c r="G3" s="2">
        <v>5</v>
      </c>
      <c r="H3" s="29">
        <v>15</v>
      </c>
    </row>
    <row r="4" spans="1:8">
      <c r="A4" s="17">
        <v>2</v>
      </c>
      <c r="B4" s="2" t="s">
        <v>427</v>
      </c>
      <c r="C4" s="2" t="s">
        <v>59</v>
      </c>
      <c r="D4" s="2" t="s">
        <v>427</v>
      </c>
      <c r="E4" s="2">
        <v>3</v>
      </c>
      <c r="F4" s="2">
        <v>103</v>
      </c>
      <c r="G4" s="2">
        <v>4</v>
      </c>
      <c r="H4" s="29">
        <v>13</v>
      </c>
    </row>
    <row r="5" spans="1:8">
      <c r="A5" s="17">
        <v>3</v>
      </c>
      <c r="B5" s="2" t="s">
        <v>457</v>
      </c>
      <c r="C5" s="2" t="s">
        <v>67</v>
      </c>
      <c r="D5" s="2" t="s">
        <v>456</v>
      </c>
      <c r="E5" s="2">
        <v>4</v>
      </c>
      <c r="F5" s="2">
        <v>108</v>
      </c>
      <c r="G5" s="2">
        <v>3</v>
      </c>
      <c r="H5" s="29">
        <v>14</v>
      </c>
    </row>
    <row r="6" spans="1:8">
      <c r="A6" s="17">
        <v>4</v>
      </c>
      <c r="B6" s="2" t="s">
        <v>4</v>
      </c>
      <c r="C6" s="2" t="s">
        <v>13</v>
      </c>
      <c r="D6" s="2" t="s">
        <v>20</v>
      </c>
      <c r="E6" s="2">
        <v>3</v>
      </c>
      <c r="F6" s="2">
        <v>110</v>
      </c>
      <c r="G6" s="2">
        <v>3</v>
      </c>
      <c r="H6" s="29">
        <v>13</v>
      </c>
    </row>
    <row r="7" spans="1:8">
      <c r="A7" s="17">
        <v>5</v>
      </c>
      <c r="B7" s="2" t="s">
        <v>5</v>
      </c>
      <c r="C7" s="2" t="s">
        <v>14</v>
      </c>
      <c r="D7" s="2" t="s">
        <v>21</v>
      </c>
      <c r="E7" s="2">
        <v>3</v>
      </c>
      <c r="F7" s="2">
        <v>102</v>
      </c>
      <c r="G7" s="2">
        <v>3</v>
      </c>
      <c r="H7" s="29">
        <v>14</v>
      </c>
    </row>
    <row r="8" spans="1:8">
      <c r="A8" s="17">
        <v>6</v>
      </c>
      <c r="B8" s="2" t="s">
        <v>6</v>
      </c>
      <c r="C8" s="2" t="s">
        <v>15</v>
      </c>
      <c r="D8" s="2" t="s">
        <v>22</v>
      </c>
      <c r="E8" s="2">
        <v>1</v>
      </c>
      <c r="F8" s="2">
        <v>121</v>
      </c>
      <c r="G8" s="2">
        <v>2</v>
      </c>
      <c r="H8" s="29">
        <v>13</v>
      </c>
    </row>
    <row r="9" spans="1:8">
      <c r="A9" s="17">
        <v>7</v>
      </c>
      <c r="B9" s="2" t="s">
        <v>7</v>
      </c>
      <c r="C9" s="2" t="s">
        <v>15</v>
      </c>
      <c r="D9" s="2" t="s">
        <v>23</v>
      </c>
      <c r="E9" s="2">
        <v>3</v>
      </c>
      <c r="F9" s="2">
        <v>113</v>
      </c>
      <c r="G9" s="2">
        <v>3</v>
      </c>
      <c r="H9" s="29">
        <v>13</v>
      </c>
    </row>
    <row r="10" spans="1:8">
      <c r="A10" s="17">
        <v>8</v>
      </c>
      <c r="B10" s="2" t="s">
        <v>8</v>
      </c>
      <c r="C10" s="2" t="s">
        <v>14</v>
      </c>
      <c r="D10" s="2" t="s">
        <v>21</v>
      </c>
      <c r="E10" s="2">
        <v>3</v>
      </c>
      <c r="F10" s="2">
        <v>102</v>
      </c>
      <c r="G10" s="2">
        <v>4</v>
      </c>
      <c r="H10" s="29">
        <v>10</v>
      </c>
    </row>
    <row r="11" spans="1:8">
      <c r="A11" s="17">
        <v>9</v>
      </c>
      <c r="B11" s="2" t="s">
        <v>9</v>
      </c>
      <c r="C11" s="2" t="s">
        <v>16</v>
      </c>
      <c r="D11" s="2" t="s">
        <v>22</v>
      </c>
      <c r="E11" s="2">
        <v>4</v>
      </c>
      <c r="F11" s="2">
        <v>105</v>
      </c>
      <c r="G11" s="2">
        <v>2</v>
      </c>
      <c r="H11" s="29">
        <v>12</v>
      </c>
    </row>
    <row r="12" spans="1:8">
      <c r="A12" s="17">
        <v>10</v>
      </c>
      <c r="B12" s="2" t="s">
        <v>10</v>
      </c>
      <c r="C12" s="2" t="s">
        <v>17</v>
      </c>
      <c r="D12" s="2" t="s">
        <v>24</v>
      </c>
      <c r="E12" s="2">
        <v>4</v>
      </c>
      <c r="F12" s="2">
        <v>114</v>
      </c>
      <c r="G12" s="2">
        <v>4</v>
      </c>
      <c r="H12" s="29">
        <v>15</v>
      </c>
    </row>
    <row r="13" spans="1:8">
      <c r="A13" s="17">
        <v>11</v>
      </c>
      <c r="B13" s="2" t="s">
        <v>11</v>
      </c>
      <c r="C13" s="2" t="s">
        <v>18</v>
      </c>
      <c r="D13" s="2" t="s">
        <v>24</v>
      </c>
      <c r="E13" s="2">
        <v>1</v>
      </c>
      <c r="F13" s="2">
        <v>114</v>
      </c>
      <c r="G13" s="2">
        <v>2</v>
      </c>
      <c r="H13" s="29">
        <v>15</v>
      </c>
    </row>
    <row r="14" spans="1:8">
      <c r="A14" s="17">
        <v>12</v>
      </c>
      <c r="B14" s="2" t="s">
        <v>12</v>
      </c>
      <c r="C14" s="2" t="s">
        <v>19</v>
      </c>
      <c r="D14" s="2" t="s">
        <v>25</v>
      </c>
      <c r="E14" s="2">
        <v>1</v>
      </c>
      <c r="F14" s="2">
        <v>118</v>
      </c>
      <c r="G14" s="2">
        <v>5</v>
      </c>
      <c r="H14" s="29">
        <v>10</v>
      </c>
    </row>
    <row r="15" spans="1:8">
      <c r="A15" s="17">
        <v>13</v>
      </c>
      <c r="B15" s="2" t="s">
        <v>432</v>
      </c>
      <c r="C15" s="2" t="s">
        <v>60</v>
      </c>
      <c r="D15" s="2" t="s">
        <v>431</v>
      </c>
      <c r="E15" s="2">
        <v>3</v>
      </c>
      <c r="F15" s="2">
        <v>119</v>
      </c>
      <c r="G15" s="2">
        <v>2</v>
      </c>
      <c r="H15" s="29">
        <v>9</v>
      </c>
    </row>
    <row r="16" spans="1:8">
      <c r="A16" s="17">
        <v>14</v>
      </c>
      <c r="B16" s="2" t="s">
        <v>430</v>
      </c>
      <c r="C16" s="2" t="s">
        <v>60</v>
      </c>
      <c r="D16" s="2" t="s">
        <v>429</v>
      </c>
      <c r="E16" s="2">
        <v>4</v>
      </c>
      <c r="F16" s="2">
        <v>111</v>
      </c>
      <c r="G16" s="2">
        <v>5</v>
      </c>
      <c r="H16" s="29">
        <v>15</v>
      </c>
    </row>
    <row r="17" spans="1:8">
      <c r="A17" s="17">
        <v>15</v>
      </c>
      <c r="B17" s="2" t="s">
        <v>436</v>
      </c>
      <c r="C17" s="2" t="s">
        <v>61</v>
      </c>
      <c r="D17" s="2" t="s">
        <v>435</v>
      </c>
      <c r="E17" s="2">
        <v>3</v>
      </c>
      <c r="F17" s="2">
        <v>101</v>
      </c>
      <c r="G17" s="2">
        <v>5</v>
      </c>
      <c r="H17" s="29">
        <v>11</v>
      </c>
    </row>
    <row r="18" spans="1:8">
      <c r="A18" s="17">
        <v>16</v>
      </c>
      <c r="B18" s="2" t="s">
        <v>434</v>
      </c>
      <c r="C18" s="2" t="s">
        <v>61</v>
      </c>
      <c r="D18" s="2" t="s">
        <v>433</v>
      </c>
      <c r="E18" s="2">
        <v>4</v>
      </c>
      <c r="F18" s="2">
        <v>101</v>
      </c>
      <c r="G18" s="2">
        <v>4</v>
      </c>
      <c r="H18" s="29">
        <v>11</v>
      </c>
    </row>
    <row r="19" spans="1:8">
      <c r="A19" s="17">
        <v>17</v>
      </c>
      <c r="B19" s="2" t="s">
        <v>438</v>
      </c>
      <c r="C19" s="2" t="s">
        <v>62</v>
      </c>
      <c r="D19" s="2" t="s">
        <v>437</v>
      </c>
      <c r="E19" s="2">
        <v>2</v>
      </c>
      <c r="F19" s="2">
        <v>116</v>
      </c>
      <c r="G19" s="2">
        <v>2</v>
      </c>
      <c r="H19" s="29">
        <v>10</v>
      </c>
    </row>
    <row r="20" spans="1:8">
      <c r="A20" s="17">
        <v>18</v>
      </c>
      <c r="B20" s="2" t="s">
        <v>463</v>
      </c>
      <c r="C20" s="2" t="s">
        <v>64</v>
      </c>
      <c r="D20" s="2" t="s">
        <v>462</v>
      </c>
      <c r="E20" s="2">
        <v>3</v>
      </c>
      <c r="F20" s="2">
        <v>124</v>
      </c>
      <c r="G20" s="2">
        <v>5</v>
      </c>
      <c r="H20" s="29">
        <v>13</v>
      </c>
    </row>
    <row r="21" spans="1:8">
      <c r="A21" s="17">
        <v>19</v>
      </c>
      <c r="B21" s="2" t="s">
        <v>466</v>
      </c>
      <c r="C21" s="2" t="s">
        <v>461</v>
      </c>
      <c r="D21" s="2" t="s">
        <v>464</v>
      </c>
      <c r="E21" s="2">
        <v>4</v>
      </c>
      <c r="F21" s="2">
        <v>104</v>
      </c>
      <c r="G21" s="2">
        <v>3</v>
      </c>
      <c r="H21" s="29">
        <v>13</v>
      </c>
    </row>
    <row r="22" spans="1:8">
      <c r="A22" s="17">
        <v>20</v>
      </c>
      <c r="B22" s="2" t="s">
        <v>458</v>
      </c>
      <c r="C22" s="2" t="s">
        <v>65</v>
      </c>
      <c r="D22" s="2" t="s">
        <v>459</v>
      </c>
      <c r="E22" s="2">
        <v>2</v>
      </c>
      <c r="F22" s="2">
        <v>123</v>
      </c>
      <c r="G22" s="2">
        <v>5</v>
      </c>
      <c r="H22" s="29">
        <v>14</v>
      </c>
    </row>
    <row r="23" spans="1:8">
      <c r="A23" s="17">
        <v>21</v>
      </c>
      <c r="B23" s="2" t="s">
        <v>465</v>
      </c>
      <c r="C23" s="2" t="s">
        <v>66</v>
      </c>
      <c r="D23" s="2" t="s">
        <v>460</v>
      </c>
      <c r="E23" s="2">
        <v>2</v>
      </c>
      <c r="F23" s="2">
        <v>109</v>
      </c>
      <c r="G23" s="2">
        <v>5</v>
      </c>
      <c r="H23" s="29">
        <v>12</v>
      </c>
    </row>
    <row r="24" spans="1:8">
      <c r="A24" s="17">
        <v>22</v>
      </c>
      <c r="B24" s="1" t="s">
        <v>469</v>
      </c>
      <c r="C24" s="2" t="s">
        <v>63</v>
      </c>
      <c r="D24" s="1" t="s">
        <v>468</v>
      </c>
      <c r="E24" s="2">
        <v>3</v>
      </c>
      <c r="F24" s="2">
        <v>127</v>
      </c>
      <c r="G24" s="2">
        <v>2</v>
      </c>
      <c r="H24" s="29">
        <v>14</v>
      </c>
    </row>
    <row r="25" spans="1:8">
      <c r="A25" s="18">
        <v>23</v>
      </c>
      <c r="B25" s="19" t="s">
        <v>467</v>
      </c>
      <c r="C25" s="19" t="s">
        <v>455</v>
      </c>
      <c r="D25" s="19" t="s">
        <v>433</v>
      </c>
      <c r="E25" s="19">
        <v>2</v>
      </c>
      <c r="F25" s="19">
        <v>125</v>
      </c>
      <c r="G25" s="19">
        <v>2</v>
      </c>
      <c r="H25" s="30">
        <v>13</v>
      </c>
    </row>
    <row r="26" spans="1:8">
      <c r="A26"/>
      <c r="B26"/>
      <c r="C26"/>
      <c r="D26"/>
      <c r="E26"/>
      <c r="F26"/>
      <c r="G26"/>
    </row>
    <row r="27" spans="1:8">
      <c r="A27"/>
      <c r="B27"/>
      <c r="C27"/>
      <c r="D27"/>
      <c r="E27"/>
      <c r="F27"/>
      <c r="G27"/>
    </row>
    <row r="28" spans="1:8">
      <c r="A28"/>
      <c r="B28"/>
      <c r="C28"/>
      <c r="D28"/>
      <c r="E28"/>
      <c r="F28"/>
      <c r="G28"/>
    </row>
    <row r="29" spans="1:8">
      <c r="A29"/>
      <c r="B29"/>
      <c r="C29"/>
      <c r="D29"/>
      <c r="E29"/>
      <c r="F29"/>
      <c r="G29"/>
    </row>
    <row r="30" spans="1:8">
      <c r="A30"/>
      <c r="B30"/>
      <c r="C30"/>
      <c r="D30"/>
      <c r="E30"/>
      <c r="F30"/>
      <c r="G30"/>
    </row>
    <row r="31" spans="1:8">
      <c r="A31"/>
      <c r="B31"/>
      <c r="C31"/>
      <c r="D31"/>
      <c r="E31"/>
      <c r="F31"/>
      <c r="G31"/>
    </row>
    <row r="32" spans="1:8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Views>
    <sheetView topLeftCell="B7" workbookViewId="0">
      <selection activeCell="I2" sqref="I2"/>
    </sheetView>
  </sheetViews>
  <sheetFormatPr defaultRowHeight="14.4"/>
  <cols>
    <col min="1" max="1" width="10.5546875" style="1" bestFit="1" customWidth="1"/>
    <col min="2" max="2" width="21.21875" style="1" bestFit="1" customWidth="1"/>
    <col min="3" max="3" width="23.33203125" style="1" bestFit="1" customWidth="1"/>
    <col min="4" max="4" width="15.21875" style="1" bestFit="1" customWidth="1"/>
    <col min="5" max="5" width="15.6640625" style="1" bestFit="1" customWidth="1"/>
    <col min="6" max="6" width="15.77734375" style="1" bestFit="1" customWidth="1"/>
    <col min="7" max="7" width="14.44140625" style="1" bestFit="1" customWidth="1"/>
    <col min="8" max="8" width="27" style="1" bestFit="1" customWidth="1"/>
    <col min="9" max="9" width="17.5546875" style="1" bestFit="1" customWidth="1"/>
    <col min="10" max="16384" width="8.88671875" style="1"/>
  </cols>
  <sheetData>
    <row r="1" spans="1:10">
      <c r="A1" s="3" t="s">
        <v>505</v>
      </c>
      <c r="B1"/>
      <c r="C1"/>
      <c r="D1"/>
      <c r="E1"/>
      <c r="F1"/>
      <c r="G1"/>
      <c r="H1"/>
      <c r="I1"/>
    </row>
    <row r="2" spans="1:10" ht="17.399999999999999">
      <c r="A2" s="1" t="s">
        <v>69</v>
      </c>
      <c r="B2" s="49" t="s">
        <v>46</v>
      </c>
      <c r="C2" s="49" t="s">
        <v>37</v>
      </c>
      <c r="D2" s="49" t="s">
        <v>51</v>
      </c>
      <c r="E2" s="49" t="s">
        <v>52</v>
      </c>
      <c r="F2" s="49" t="s">
        <v>53</v>
      </c>
      <c r="G2" s="49" t="s">
        <v>54</v>
      </c>
      <c r="H2" s="49" t="s">
        <v>55</v>
      </c>
      <c r="I2" s="49" t="s">
        <v>551</v>
      </c>
    </row>
    <row r="3" spans="1:10">
      <c r="A3" s="1" t="s">
        <v>70</v>
      </c>
      <c r="B3" s="17">
        <v>1</v>
      </c>
      <c r="C3" s="2">
        <v>1</v>
      </c>
      <c r="D3" s="2">
        <v>39938.769999999997</v>
      </c>
      <c r="E3" s="2">
        <v>10949.6</v>
      </c>
      <c r="F3" s="2">
        <v>1822.13</v>
      </c>
      <c r="G3" s="2">
        <v>491.91</v>
      </c>
      <c r="H3" s="10">
        <v>421.75</v>
      </c>
      <c r="I3" s="31">
        <v>1.8341901928391948</v>
      </c>
    </row>
    <row r="4" spans="1:10">
      <c r="A4" s="1" t="s">
        <v>71</v>
      </c>
      <c r="B4" s="17">
        <v>2</v>
      </c>
      <c r="C4" s="2">
        <v>2</v>
      </c>
      <c r="D4" s="2">
        <v>13450.97</v>
      </c>
      <c r="E4" s="2">
        <v>6627.4</v>
      </c>
      <c r="F4" s="2">
        <v>3758.53</v>
      </c>
      <c r="G4" s="2">
        <v>1457.99</v>
      </c>
      <c r="H4" s="10">
        <v>544.23</v>
      </c>
      <c r="I4" s="31">
        <v>2.3753812372427987</v>
      </c>
    </row>
    <row r="5" spans="1:10">
      <c r="A5" s="1" t="s">
        <v>72</v>
      </c>
      <c r="B5" s="17">
        <v>3</v>
      </c>
      <c r="C5" s="2">
        <v>3</v>
      </c>
      <c r="D5" s="2">
        <v>24013.279999999999</v>
      </c>
      <c r="E5" s="2">
        <v>15565.42</v>
      </c>
      <c r="F5" s="2">
        <v>1154.79</v>
      </c>
      <c r="G5" s="2">
        <v>2358.1999999999998</v>
      </c>
      <c r="H5" s="10">
        <v>135.21</v>
      </c>
      <c r="I5" s="31">
        <v>1.7050992463095085</v>
      </c>
    </row>
    <row r="6" spans="1:10">
      <c r="A6" s="1" t="s">
        <v>73</v>
      </c>
      <c r="B6" s="17">
        <v>4</v>
      </c>
      <c r="C6" s="2">
        <v>4</v>
      </c>
      <c r="D6" s="2">
        <v>29719.78</v>
      </c>
      <c r="E6" s="2">
        <v>25554.12</v>
      </c>
      <c r="F6" s="2">
        <v>1950.86</v>
      </c>
      <c r="G6" s="2">
        <v>513.48</v>
      </c>
      <c r="H6" s="10">
        <v>296.81</v>
      </c>
      <c r="I6" s="31">
        <v>2.0243906902664079</v>
      </c>
    </row>
    <row r="7" spans="1:10">
      <c r="A7" s="1" t="s">
        <v>74</v>
      </c>
      <c r="B7" s="17">
        <v>5</v>
      </c>
      <c r="C7" s="2">
        <v>5</v>
      </c>
      <c r="D7" s="2">
        <v>29310.7</v>
      </c>
      <c r="E7" s="2">
        <v>8076.5</v>
      </c>
      <c r="F7" s="2">
        <v>992.03</v>
      </c>
      <c r="G7" s="2">
        <v>2499.9499999999998</v>
      </c>
      <c r="H7" s="10">
        <v>504.95</v>
      </c>
      <c r="I7" s="31">
        <v>1.6516552470324299</v>
      </c>
    </row>
    <row r="8" spans="1:10">
      <c r="A8" s="1" t="s">
        <v>75</v>
      </c>
      <c r="B8" s="17">
        <v>6</v>
      </c>
      <c r="C8" s="2">
        <v>6</v>
      </c>
      <c r="D8" s="2">
        <v>19241.57</v>
      </c>
      <c r="E8" s="2">
        <v>19000.68</v>
      </c>
      <c r="F8" s="2">
        <v>3293.05</v>
      </c>
      <c r="G8" s="2">
        <v>992.58</v>
      </c>
      <c r="H8" s="10">
        <v>359.63</v>
      </c>
      <c r="I8" s="31">
        <v>2.3648369615233591</v>
      </c>
    </row>
    <row r="9" spans="1:10">
      <c r="A9" s="1" t="s">
        <v>76</v>
      </c>
      <c r="B9" s="17">
        <v>7</v>
      </c>
      <c r="C9" s="2">
        <v>7</v>
      </c>
      <c r="D9" s="2">
        <v>17894.77</v>
      </c>
      <c r="E9" s="2">
        <v>21867.9</v>
      </c>
      <c r="F9" s="2">
        <v>679.57</v>
      </c>
      <c r="G9" s="2">
        <v>2044.85</v>
      </c>
      <c r="H9" s="10">
        <v>234.14</v>
      </c>
      <c r="I9" s="31">
        <v>1.6190368336805463</v>
      </c>
    </row>
    <row r="10" spans="1:10">
      <c r="A10" s="1" t="s">
        <v>77</v>
      </c>
      <c r="B10" s="17">
        <v>8</v>
      </c>
      <c r="C10" s="2">
        <v>8</v>
      </c>
      <c r="D10" s="2">
        <v>22542.83</v>
      </c>
      <c r="E10" s="2">
        <v>6911.24</v>
      </c>
      <c r="F10" s="2">
        <v>4688.74</v>
      </c>
      <c r="G10" s="2">
        <v>755.15</v>
      </c>
      <c r="H10" s="10">
        <v>304.27999999999997</v>
      </c>
      <c r="I10" s="31">
        <v>1.931735432899039</v>
      </c>
      <c r="J10"/>
    </row>
    <row r="11" spans="1:10">
      <c r="A11" s="1" t="s">
        <v>78</v>
      </c>
      <c r="B11" s="17">
        <v>9</v>
      </c>
      <c r="C11" s="2">
        <v>9</v>
      </c>
      <c r="D11" s="2">
        <v>23545.53</v>
      </c>
      <c r="E11" s="2">
        <v>26002.080000000002</v>
      </c>
      <c r="F11" s="2">
        <v>3090.4</v>
      </c>
      <c r="G11" s="2">
        <v>1087.43</v>
      </c>
      <c r="H11" s="10">
        <v>229.14</v>
      </c>
      <c r="I11" s="31">
        <v>1.9869940011170897</v>
      </c>
      <c r="J11"/>
    </row>
    <row r="12" spans="1:10">
      <c r="A12" s="1" t="s">
        <v>79</v>
      </c>
      <c r="B12" s="17">
        <v>10</v>
      </c>
      <c r="C12" s="2">
        <v>10</v>
      </c>
      <c r="D12" s="2">
        <v>18698.580000000002</v>
      </c>
      <c r="E12" s="2">
        <v>6921.1</v>
      </c>
      <c r="F12" s="2">
        <v>2891.88</v>
      </c>
      <c r="G12" s="2">
        <v>664.94</v>
      </c>
      <c r="H12" s="10">
        <v>363.31</v>
      </c>
      <c r="I12" s="31">
        <v>3.0202988147260825</v>
      </c>
    </row>
    <row r="13" spans="1:10">
      <c r="A13" s="1" t="s">
        <v>80</v>
      </c>
      <c r="B13" s="17">
        <v>11</v>
      </c>
      <c r="C13" s="2">
        <v>11</v>
      </c>
      <c r="D13" s="5">
        <v>16154.894329766965</v>
      </c>
      <c r="E13" s="5">
        <v>15787.415706088777</v>
      </c>
      <c r="F13" s="5">
        <v>2177.2365720797934</v>
      </c>
      <c r="G13" s="5">
        <v>1805.7091302279548</v>
      </c>
      <c r="H13" s="10">
        <v>588.92844037440841</v>
      </c>
      <c r="I13" s="31">
        <v>2.057582603610534</v>
      </c>
    </row>
    <row r="14" spans="1:10">
      <c r="A14" s="1" t="s">
        <v>81</v>
      </c>
      <c r="B14" s="17">
        <v>12</v>
      </c>
      <c r="C14" s="2">
        <v>12</v>
      </c>
      <c r="D14" s="5">
        <v>30636.062648690175</v>
      </c>
      <c r="E14" s="5">
        <v>10276.865853854188</v>
      </c>
      <c r="F14" s="5">
        <v>2736.5701293282582</v>
      </c>
      <c r="G14" s="5">
        <v>984.19259659742579</v>
      </c>
      <c r="H14" s="10">
        <v>319.81166366644788</v>
      </c>
      <c r="I14" s="31">
        <v>1.8969774850933376</v>
      </c>
    </row>
    <row r="15" spans="1:10">
      <c r="A15" s="1" t="s">
        <v>82</v>
      </c>
      <c r="B15" s="17">
        <v>13</v>
      </c>
      <c r="C15" s="2">
        <v>13</v>
      </c>
      <c r="D15" s="5">
        <v>21358.301557597857</v>
      </c>
      <c r="E15" s="5">
        <v>15676.534215268101</v>
      </c>
      <c r="F15" s="5">
        <v>3051.9647020090742</v>
      </c>
      <c r="G15" s="5">
        <v>2011.0785832393265</v>
      </c>
      <c r="H15" s="10">
        <v>601.09247376353483</v>
      </c>
      <c r="I15" s="31">
        <v>2.0062872249940469</v>
      </c>
    </row>
    <row r="16" spans="1:10">
      <c r="A16" s="1" t="s">
        <v>83</v>
      </c>
      <c r="B16" s="17">
        <v>14</v>
      </c>
      <c r="C16" s="2">
        <v>14</v>
      </c>
      <c r="D16" s="5">
        <v>30054.008499850032</v>
      </c>
      <c r="E16" s="5">
        <v>21634.866839066774</v>
      </c>
      <c r="F16" s="5">
        <v>1784.4633270405141</v>
      </c>
      <c r="G16" s="5">
        <v>1939.6096005611287</v>
      </c>
      <c r="H16" s="10">
        <v>399.29090785849144</v>
      </c>
      <c r="I16" s="31">
        <v>2.7423763357268385</v>
      </c>
    </row>
    <row r="17" spans="1:9">
      <c r="A17" s="1" t="s">
        <v>84</v>
      </c>
      <c r="B17" s="17">
        <v>15</v>
      </c>
      <c r="C17" s="2">
        <v>15</v>
      </c>
      <c r="D17" s="5">
        <v>28781.921692099193</v>
      </c>
      <c r="E17" s="5">
        <v>29000.316252706223</v>
      </c>
      <c r="F17" s="5">
        <v>1495.5452819966852</v>
      </c>
      <c r="G17" s="5">
        <v>1262.0715980564671</v>
      </c>
      <c r="H17" s="10">
        <v>411.82359811832316</v>
      </c>
      <c r="I17" s="31">
        <v>1.8217955378344399</v>
      </c>
    </row>
    <row r="18" spans="1:9">
      <c r="A18" s="1" t="s">
        <v>85</v>
      </c>
      <c r="B18" s="17">
        <v>16</v>
      </c>
      <c r="C18" s="2">
        <v>16</v>
      </c>
      <c r="D18" s="5">
        <v>21797.744005134606</v>
      </c>
      <c r="E18" s="5">
        <v>24804.53461589542</v>
      </c>
      <c r="F18" s="5">
        <v>2127.515065168056</v>
      </c>
      <c r="G18" s="5">
        <v>1236.5743562485693</v>
      </c>
      <c r="H18" s="10">
        <v>89.997105620247339</v>
      </c>
      <c r="I18" s="31">
        <v>1.4981443180744449</v>
      </c>
    </row>
    <row r="19" spans="1:9">
      <c r="A19" s="1" t="s">
        <v>86</v>
      </c>
      <c r="B19" s="17">
        <v>17</v>
      </c>
      <c r="C19" s="2">
        <v>17</v>
      </c>
      <c r="D19" s="5">
        <v>29842.835417429204</v>
      </c>
      <c r="E19" s="5">
        <v>16967.601860566727</v>
      </c>
      <c r="F19" s="5">
        <v>1999.3064392300696</v>
      </c>
      <c r="G19" s="5">
        <v>1549.8350523829902</v>
      </c>
      <c r="H19" s="10">
        <v>474.95375915572981</v>
      </c>
      <c r="I19" s="31">
        <v>1.7867446934809763</v>
      </c>
    </row>
    <row r="20" spans="1:9">
      <c r="A20" s="1" t="s">
        <v>87</v>
      </c>
      <c r="B20" s="17">
        <v>18</v>
      </c>
      <c r="C20" s="2">
        <v>18</v>
      </c>
      <c r="D20" s="5">
        <v>25425.989381325369</v>
      </c>
      <c r="E20" s="5">
        <v>-12051.747974290438</v>
      </c>
      <c r="F20" s="5">
        <v>2194.75344003594</v>
      </c>
      <c r="G20" s="5">
        <v>1427.8602156145314</v>
      </c>
      <c r="H20" s="10">
        <v>460.23952953841831</v>
      </c>
      <c r="I20" s="31">
        <v>1.7289222115045035</v>
      </c>
    </row>
    <row r="21" spans="1:9">
      <c r="A21" s="1" t="s">
        <v>88</v>
      </c>
      <c r="B21" s="17">
        <v>19</v>
      </c>
      <c r="C21" s="2">
        <v>19</v>
      </c>
      <c r="D21" s="5">
        <v>16049.559574752355</v>
      </c>
      <c r="E21" s="5">
        <v>10400.592124248587</v>
      </c>
      <c r="F21" s="5">
        <v>1345.6389546453395</v>
      </c>
      <c r="G21" s="5">
        <v>1040.5152932407179</v>
      </c>
      <c r="H21" s="10">
        <v>407.88641942858408</v>
      </c>
      <c r="I21" s="31">
        <v>2.4224135814341921</v>
      </c>
    </row>
    <row r="22" spans="1:9">
      <c r="A22" s="1" t="s">
        <v>89</v>
      </c>
      <c r="B22" s="17">
        <v>20</v>
      </c>
      <c r="C22" s="2">
        <v>20</v>
      </c>
      <c r="D22" s="5">
        <v>23524.37413751554</v>
      </c>
      <c r="E22" s="5">
        <v>18956.553705467566</v>
      </c>
      <c r="F22" s="5">
        <v>1961.6618850894995</v>
      </c>
      <c r="G22" s="5">
        <v>1359.9917257169398</v>
      </c>
      <c r="H22" s="10">
        <v>207.55783766221316</v>
      </c>
      <c r="I22" s="31">
        <v>1.5192456970993575</v>
      </c>
    </row>
    <row r="23" spans="1:9">
      <c r="A23" s="1" t="s">
        <v>90</v>
      </c>
      <c r="B23" s="17">
        <v>21</v>
      </c>
      <c r="C23" s="2">
        <v>21</v>
      </c>
      <c r="D23" s="5">
        <v>23604.895362933665</v>
      </c>
      <c r="E23" s="5">
        <v>19365.941553428966</v>
      </c>
      <c r="F23" s="5">
        <v>1155.957013380332</v>
      </c>
      <c r="G23" s="5">
        <v>1688.6513201315427</v>
      </c>
      <c r="H23" s="10">
        <v>75.101834255880703</v>
      </c>
      <c r="I23" s="31">
        <v>0.37182133330988876</v>
      </c>
    </row>
    <row r="24" spans="1:9">
      <c r="A24" s="1" t="s">
        <v>91</v>
      </c>
      <c r="B24" s="17">
        <v>22</v>
      </c>
      <c r="C24" s="2">
        <v>22</v>
      </c>
      <c r="D24" s="5">
        <v>24963.357425155071</v>
      </c>
      <c r="E24" s="5">
        <v>28091.478390307937</v>
      </c>
      <c r="F24" s="5">
        <v>1926.0011662671716</v>
      </c>
      <c r="G24" s="5">
        <v>1479.059370465551</v>
      </c>
      <c r="H24" s="10">
        <v>389.3084138268448</v>
      </c>
      <c r="I24" s="31">
        <v>2.2510199285801704</v>
      </c>
    </row>
    <row r="25" spans="1:9">
      <c r="A25" s="1" t="s">
        <v>92</v>
      </c>
      <c r="B25" s="17">
        <v>23</v>
      </c>
      <c r="C25" s="2">
        <v>23</v>
      </c>
      <c r="D25" s="5">
        <v>19152.018722210276</v>
      </c>
      <c r="E25" s="5">
        <v>23825.078348865471</v>
      </c>
      <c r="F25" s="5">
        <v>2204.1610258574037</v>
      </c>
      <c r="G25" s="5">
        <v>943.30629056269004</v>
      </c>
      <c r="H25" s="10">
        <v>266.35764992228974</v>
      </c>
      <c r="I25" s="31">
        <v>1.6385721782438836</v>
      </c>
    </row>
    <row r="26" spans="1:9">
      <c r="A26" s="1" t="s">
        <v>93</v>
      </c>
      <c r="B26" s="17">
        <v>24</v>
      </c>
      <c r="C26" s="2">
        <v>24</v>
      </c>
      <c r="D26" s="5">
        <v>22008.558292226415</v>
      </c>
      <c r="E26" s="5">
        <v>11438.862982553756</v>
      </c>
      <c r="F26" s="5">
        <v>1171.8163272424974</v>
      </c>
      <c r="G26" s="5">
        <v>1852.9384006696307</v>
      </c>
      <c r="H26" s="10">
        <v>200.65277943981232</v>
      </c>
      <c r="I26" s="31">
        <v>2.2169103083519062</v>
      </c>
    </row>
    <row r="27" spans="1:9">
      <c r="A27" s="1" t="s">
        <v>94</v>
      </c>
      <c r="B27" s="17">
        <v>25</v>
      </c>
      <c r="C27" s="2">
        <v>25</v>
      </c>
      <c r="D27" s="5">
        <v>14769.000161512711</v>
      </c>
      <c r="E27" s="5">
        <v>34370.884031742942</v>
      </c>
      <c r="F27" s="5">
        <v>2639.570245647421</v>
      </c>
      <c r="G27" s="5">
        <v>1704.2512018769446</v>
      </c>
      <c r="H27" s="10">
        <v>594.1214078844921</v>
      </c>
      <c r="I27" s="31">
        <v>1.8058235897746258</v>
      </c>
    </row>
    <row r="28" spans="1:9">
      <c r="A28" s="1" t="s">
        <v>95</v>
      </c>
      <c r="B28" s="17">
        <v>26</v>
      </c>
      <c r="C28" s="2">
        <v>26</v>
      </c>
      <c r="D28" s="5">
        <v>17964.783862445391</v>
      </c>
      <c r="E28" s="5">
        <v>18149.916419185327</v>
      </c>
      <c r="F28" s="5">
        <v>1657.6104166423577</v>
      </c>
      <c r="G28" s="5">
        <v>765.57237133322246</v>
      </c>
      <c r="H28" s="10">
        <v>251.93018385893697</v>
      </c>
      <c r="I28" s="31">
        <v>2.1198984820779501</v>
      </c>
    </row>
    <row r="29" spans="1:9">
      <c r="A29" s="1" t="s">
        <v>96</v>
      </c>
      <c r="B29" s="17">
        <v>27</v>
      </c>
      <c r="C29" s="2">
        <v>27</v>
      </c>
      <c r="D29" s="5">
        <v>29802.574804720141</v>
      </c>
      <c r="E29" s="5">
        <v>10511.863977400762</v>
      </c>
      <c r="F29" s="5">
        <v>2112.5305715221584</v>
      </c>
      <c r="G29" s="5">
        <v>853.04504657226403</v>
      </c>
      <c r="H29" s="10">
        <v>272.49786838878822</v>
      </c>
      <c r="I29" s="31">
        <v>2.5290813730947761</v>
      </c>
    </row>
    <row r="30" spans="1:9">
      <c r="A30" s="1" t="s">
        <v>97</v>
      </c>
      <c r="B30" s="17">
        <v>28</v>
      </c>
      <c r="C30" s="2">
        <v>28</v>
      </c>
      <c r="D30" s="5">
        <v>16837.662956928714</v>
      </c>
      <c r="E30" s="5">
        <v>14579.37441095788</v>
      </c>
      <c r="F30" s="5">
        <v>2578.0656664400267</v>
      </c>
      <c r="G30" s="5">
        <v>1766.2352401047644</v>
      </c>
      <c r="H30" s="10">
        <v>290.11369599142813</v>
      </c>
      <c r="I30" s="31">
        <v>2.5926548894762149</v>
      </c>
    </row>
    <row r="31" spans="1:9">
      <c r="A31" s="1" t="s">
        <v>98</v>
      </c>
      <c r="B31" s="17">
        <v>29</v>
      </c>
      <c r="C31" s="2">
        <v>29</v>
      </c>
      <c r="D31" s="5">
        <v>24200.961413570301</v>
      </c>
      <c r="E31" s="5">
        <v>14030.627210660723</v>
      </c>
      <c r="F31" s="5">
        <v>2139.5527959802093</v>
      </c>
      <c r="G31" s="5">
        <v>936.70333837046542</v>
      </c>
      <c r="H31" s="10">
        <v>179.87597936703128</v>
      </c>
      <c r="I31" s="31">
        <v>1.7937816933857889</v>
      </c>
    </row>
    <row r="32" spans="1:9">
      <c r="A32" s="1" t="s">
        <v>99</v>
      </c>
      <c r="B32" s="17">
        <v>30</v>
      </c>
      <c r="C32" s="2">
        <v>30</v>
      </c>
      <c r="D32" s="5">
        <v>21319.20545604439</v>
      </c>
      <c r="E32" s="5">
        <v>22959.384818436149</v>
      </c>
      <c r="F32" s="5">
        <v>2409.9398864754148</v>
      </c>
      <c r="G32" s="5">
        <v>1048.9713498599701</v>
      </c>
      <c r="H32" s="10">
        <v>518.2383484713198</v>
      </c>
      <c r="I32" s="31">
        <v>1.8418637617009139</v>
      </c>
    </row>
    <row r="33" spans="1:9">
      <c r="A33" s="1" t="s">
        <v>100</v>
      </c>
      <c r="B33" s="17">
        <v>31</v>
      </c>
      <c r="C33" s="2">
        <v>31</v>
      </c>
      <c r="D33" s="5">
        <v>24624.75534903783</v>
      </c>
      <c r="E33" s="5">
        <v>17981.10329950583</v>
      </c>
      <c r="F33" s="5">
        <v>1605.3576722887485</v>
      </c>
      <c r="G33" s="5">
        <v>1999.8677624270601</v>
      </c>
      <c r="H33" s="10">
        <v>236.28185003840076</v>
      </c>
      <c r="I33" s="31">
        <v>2.1133564132009255</v>
      </c>
    </row>
    <row r="34" spans="1:9">
      <c r="A34" s="1" t="s">
        <v>101</v>
      </c>
      <c r="B34" s="17">
        <v>32</v>
      </c>
      <c r="C34" s="2">
        <v>32</v>
      </c>
      <c r="D34" s="5">
        <v>31017.292127757035</v>
      </c>
      <c r="E34" s="5">
        <v>25184.859058844551</v>
      </c>
      <c r="F34" s="5">
        <v>2487.9324677575751</v>
      </c>
      <c r="G34" s="5">
        <v>910.16614542142975</v>
      </c>
      <c r="H34" s="10">
        <v>304.57485060983049</v>
      </c>
      <c r="I34" s="31">
        <v>2.8957664715830091</v>
      </c>
    </row>
    <row r="35" spans="1:9">
      <c r="A35" s="1" t="s">
        <v>102</v>
      </c>
      <c r="B35" s="17">
        <v>33</v>
      </c>
      <c r="C35" s="2">
        <v>33</v>
      </c>
      <c r="D35" s="5">
        <v>23844.646178578249</v>
      </c>
      <c r="E35" s="5">
        <v>20714.91294456274</v>
      </c>
      <c r="F35" s="5">
        <v>2307.0163501150928</v>
      </c>
      <c r="G35" s="5">
        <v>878.30258332989956</v>
      </c>
      <c r="H35" s="10">
        <v>303.66115126311956</v>
      </c>
      <c r="I35" s="31">
        <v>2.2812064454132255</v>
      </c>
    </row>
    <row r="36" spans="1:9">
      <c r="A36" s="1" t="s">
        <v>103</v>
      </c>
      <c r="B36" s="17">
        <v>34</v>
      </c>
      <c r="C36" s="2">
        <v>34</v>
      </c>
      <c r="D36" s="5">
        <v>15717.957154878466</v>
      </c>
      <c r="E36" s="5">
        <v>21879.912145478156</v>
      </c>
      <c r="F36" s="5">
        <v>1365.0657614752092</v>
      </c>
      <c r="G36" s="5">
        <v>898.85698407572249</v>
      </c>
      <c r="H36" s="10">
        <v>375.95405149263274</v>
      </c>
      <c r="I36" s="31">
        <v>1.8232402447114495</v>
      </c>
    </row>
    <row r="37" spans="1:9">
      <c r="A37" s="1" t="s">
        <v>104</v>
      </c>
      <c r="B37" s="17">
        <v>35</v>
      </c>
      <c r="C37" s="2">
        <v>35</v>
      </c>
      <c r="D37" s="5">
        <v>36186.815228287604</v>
      </c>
      <c r="E37" s="5">
        <v>16291.048174077159</v>
      </c>
      <c r="F37" s="5">
        <v>1902.9909503123165</v>
      </c>
      <c r="G37" s="5">
        <v>273.9004355452596</v>
      </c>
      <c r="H37" s="10">
        <v>523.5156743143732</v>
      </c>
      <c r="I37" s="31">
        <v>2.0393289486850321</v>
      </c>
    </row>
    <row r="38" spans="1:9">
      <c r="A38" s="1" t="s">
        <v>105</v>
      </c>
      <c r="B38" s="17">
        <v>36</v>
      </c>
      <c r="C38" s="2">
        <v>36</v>
      </c>
      <c r="D38" s="5">
        <v>27021.256360700452</v>
      </c>
      <c r="E38" s="5">
        <v>8735.1948860912762</v>
      </c>
      <c r="F38" s="5">
        <v>2333.8117693318891</v>
      </c>
      <c r="G38" s="5">
        <v>1369.4361046972733</v>
      </c>
      <c r="H38" s="10">
        <v>272.58387006590669</v>
      </c>
      <c r="I38" s="31">
        <v>1.7340457631593367</v>
      </c>
    </row>
    <row r="39" spans="1:9">
      <c r="A39" s="1" t="s">
        <v>106</v>
      </c>
      <c r="B39" s="17">
        <v>37</v>
      </c>
      <c r="C39" s="2">
        <v>37</v>
      </c>
      <c r="D39" s="5">
        <v>25669.90725851051</v>
      </c>
      <c r="E39" s="5">
        <v>7167.1279892478287</v>
      </c>
      <c r="F39" s="5">
        <v>1927.6081297183666</v>
      </c>
      <c r="G39" s="5">
        <v>1340.4588372622345</v>
      </c>
      <c r="H39" s="10">
        <v>393.76228730602338</v>
      </c>
      <c r="I39" s="31">
        <v>1.7516291767145944</v>
      </c>
    </row>
    <row r="40" spans="1:9">
      <c r="A40" s="1" t="s">
        <v>107</v>
      </c>
      <c r="B40" s="17">
        <v>38</v>
      </c>
      <c r="C40" s="2">
        <v>38</v>
      </c>
      <c r="D40" s="5">
        <v>22080.921644900489</v>
      </c>
      <c r="E40" s="5">
        <v>18141.560806423568</v>
      </c>
      <c r="F40" s="5">
        <v>2376.3954481372748</v>
      </c>
      <c r="G40" s="5">
        <v>1253.2498375784814</v>
      </c>
      <c r="H40" s="10">
        <v>374.45148715928258</v>
      </c>
      <c r="I40" s="31">
        <v>1.8625963476273668</v>
      </c>
    </row>
    <row r="41" spans="1:9">
      <c r="A41" s="1" t="s">
        <v>108</v>
      </c>
      <c r="B41" s="17">
        <v>39</v>
      </c>
      <c r="C41" s="2">
        <v>39</v>
      </c>
      <c r="D41" s="5">
        <v>26022.804495894525</v>
      </c>
      <c r="E41" s="5">
        <v>29291.675261444478</v>
      </c>
      <c r="F41" s="5">
        <v>2653.5469054769164</v>
      </c>
      <c r="G41" s="5">
        <v>1755.9021085534584</v>
      </c>
      <c r="H41" s="10">
        <v>417.3794707945915</v>
      </c>
      <c r="I41" s="31">
        <v>1.6368169368883159</v>
      </c>
    </row>
    <row r="42" spans="1:9">
      <c r="A42" s="1" t="s">
        <v>109</v>
      </c>
      <c r="B42" s="17">
        <v>40</v>
      </c>
      <c r="C42" s="2">
        <v>40</v>
      </c>
      <c r="D42" s="5">
        <v>29966.374314400444</v>
      </c>
      <c r="E42" s="5">
        <v>6785.3536290675129</v>
      </c>
      <c r="F42" s="5">
        <v>2285.2413416520831</v>
      </c>
      <c r="G42" s="5">
        <v>1463.3205827166637</v>
      </c>
      <c r="H42" s="10">
        <v>285.42728931519991</v>
      </c>
      <c r="I42" s="31">
        <v>2.1298216888402735</v>
      </c>
    </row>
    <row r="43" spans="1:9">
      <c r="A43" s="1" t="s">
        <v>110</v>
      </c>
      <c r="B43" s="17">
        <v>41</v>
      </c>
      <c r="C43" s="2">
        <v>41</v>
      </c>
      <c r="D43" s="5">
        <v>29335.38551840579</v>
      </c>
      <c r="E43" s="5">
        <v>6615.8248451136478</v>
      </c>
      <c r="F43" s="5">
        <v>1359.0835600742978</v>
      </c>
      <c r="G43" s="5">
        <v>1306.2129757480977</v>
      </c>
      <c r="H43" s="10">
        <v>417.2318437118945</v>
      </c>
      <c r="I43" s="31">
        <v>2.2022098947576509</v>
      </c>
    </row>
    <row r="44" spans="1:9">
      <c r="A44" s="1" t="s">
        <v>111</v>
      </c>
      <c r="B44" s="17">
        <v>42</v>
      </c>
      <c r="C44" s="2">
        <v>42</v>
      </c>
      <c r="D44" s="5">
        <v>22551.296026591761</v>
      </c>
      <c r="E44" s="5">
        <v>12458.191973441271</v>
      </c>
      <c r="F44" s="5">
        <v>2288.864541170271</v>
      </c>
      <c r="G44" s="5">
        <v>2025.3379605882617</v>
      </c>
      <c r="H44" s="10">
        <v>267.94566815137546</v>
      </c>
      <c r="I44" s="31">
        <v>2.1889381535578636</v>
      </c>
    </row>
    <row r="45" spans="1:9">
      <c r="A45" s="1" t="s">
        <v>112</v>
      </c>
      <c r="B45" s="17">
        <v>43</v>
      </c>
      <c r="C45" s="2">
        <v>43</v>
      </c>
      <c r="D45" s="5">
        <v>28547.974548267892</v>
      </c>
      <c r="E45" s="5">
        <v>11084.553400694913</v>
      </c>
      <c r="F45" s="5">
        <v>1396.1591115920712</v>
      </c>
      <c r="G45" s="5">
        <v>1608.654369319014</v>
      </c>
      <c r="H45" s="10">
        <v>560.41532383064509</v>
      </c>
      <c r="I45" s="31">
        <v>2.096043982400623</v>
      </c>
    </row>
    <row r="46" spans="1:9">
      <c r="A46" s="1" t="s">
        <v>113</v>
      </c>
      <c r="B46" s="17">
        <v>44</v>
      </c>
      <c r="C46" s="2">
        <v>44</v>
      </c>
      <c r="D46" s="5">
        <v>14682.864103928157</v>
      </c>
      <c r="E46" s="5">
        <v>27570.326089109411</v>
      </c>
      <c r="F46" s="5">
        <v>1432.96295156769</v>
      </c>
      <c r="G46" s="5">
        <v>852.98727150886748</v>
      </c>
      <c r="H46" s="10">
        <v>376.24382784419754</v>
      </c>
      <c r="I46" s="31">
        <v>1.9418414327623381</v>
      </c>
    </row>
    <row r="47" spans="1:9">
      <c r="A47" s="1" t="s">
        <v>114</v>
      </c>
      <c r="B47" s="17">
        <v>45</v>
      </c>
      <c r="C47" s="2">
        <v>45</v>
      </c>
      <c r="D47" s="5">
        <v>21515.812707037956</v>
      </c>
      <c r="E47" s="5">
        <v>18888.463361649257</v>
      </c>
      <c r="F47" s="5">
        <v>1216.8067564024498</v>
      </c>
      <c r="G47" s="5">
        <v>1514.2081210023423</v>
      </c>
      <c r="H47" s="10">
        <v>211.39696348440953</v>
      </c>
      <c r="I47" s="31">
        <v>2.0121980697416788</v>
      </c>
    </row>
    <row r="48" spans="1:9">
      <c r="A48" s="1" t="s">
        <v>115</v>
      </c>
      <c r="B48" s="17">
        <v>46</v>
      </c>
      <c r="C48" s="2">
        <v>46</v>
      </c>
      <c r="D48" s="5">
        <v>13628.031015226814</v>
      </c>
      <c r="E48" s="5">
        <v>20132.380813910742</v>
      </c>
      <c r="F48" s="5">
        <v>2043.7272973330366</v>
      </c>
      <c r="G48" s="5">
        <v>499.45920007205473</v>
      </c>
      <c r="H48" s="10">
        <v>386.44023050587452</v>
      </c>
      <c r="I48" s="31">
        <v>1.1180233921817475</v>
      </c>
    </row>
    <row r="49" spans="1:9">
      <c r="A49" s="1" t="s">
        <v>116</v>
      </c>
      <c r="B49" s="17">
        <v>47</v>
      </c>
      <c r="C49" s="2">
        <v>47</v>
      </c>
      <c r="D49" s="5">
        <v>29180.234864551356</v>
      </c>
      <c r="E49" s="5">
        <v>25712.535987583404</v>
      </c>
      <c r="F49" s="5">
        <v>1596.2149767991762</v>
      </c>
      <c r="G49" s="5">
        <v>1338.505548416764</v>
      </c>
      <c r="H49" s="10">
        <v>437.36883512942472</v>
      </c>
      <c r="I49" s="31">
        <v>1.8345162273175433</v>
      </c>
    </row>
    <row r="50" spans="1:9">
      <c r="A50" s="1" t="s">
        <v>117</v>
      </c>
      <c r="B50" s="17">
        <v>48</v>
      </c>
      <c r="C50" s="2">
        <v>48</v>
      </c>
      <c r="D50" s="5">
        <v>24703.778446590921</v>
      </c>
      <c r="E50" s="5">
        <v>28608.355294542715</v>
      </c>
      <c r="F50" s="5">
        <v>1549.8864535592404</v>
      </c>
      <c r="G50" s="5">
        <v>1408.7735473303144</v>
      </c>
      <c r="H50" s="10">
        <v>226.5343542200269</v>
      </c>
      <c r="I50" s="31">
        <v>1.7585560731726204</v>
      </c>
    </row>
    <row r="51" spans="1:9">
      <c r="A51" s="1" t="s">
        <v>118</v>
      </c>
      <c r="B51" s="17">
        <v>49</v>
      </c>
      <c r="C51" s="2">
        <v>49</v>
      </c>
      <c r="D51" s="5">
        <v>18363.676143147903</v>
      </c>
      <c r="E51" s="5">
        <v>9244.5805512982679</v>
      </c>
      <c r="F51" s="5">
        <v>1667.468202341199</v>
      </c>
      <c r="G51" s="5">
        <v>505.68922628106202</v>
      </c>
      <c r="H51" s="10">
        <v>415.58096756911868</v>
      </c>
      <c r="I51" s="31">
        <v>1.4723747666988842</v>
      </c>
    </row>
    <row r="52" spans="1:9">
      <c r="A52" s="1" t="s">
        <v>119</v>
      </c>
      <c r="B52" s="17">
        <v>50</v>
      </c>
      <c r="C52" s="2">
        <v>50</v>
      </c>
      <c r="D52" s="5">
        <v>29445.856711814802</v>
      </c>
      <c r="E52" s="5">
        <v>17639.935916139904</v>
      </c>
      <c r="F52" s="5">
        <v>2961.3835771859995</v>
      </c>
      <c r="G52" s="5">
        <v>1848.0226032542521</v>
      </c>
      <c r="H52" s="10">
        <v>163.63645248897842</v>
      </c>
      <c r="I52" s="31">
        <v>2.3021571003022459</v>
      </c>
    </row>
    <row r="53" spans="1:9">
      <c r="A53" s="1" t="s">
        <v>120</v>
      </c>
      <c r="B53" s="17">
        <v>51</v>
      </c>
      <c r="C53" s="2">
        <v>51</v>
      </c>
      <c r="D53" s="5">
        <v>21270.635898873796</v>
      </c>
      <c r="E53" s="5">
        <v>4938.6052049174486</v>
      </c>
      <c r="F53" s="5">
        <v>1103.2540691493452</v>
      </c>
      <c r="G53" s="5">
        <v>869.27861013002598</v>
      </c>
      <c r="H53" s="10">
        <v>140.5874552398443</v>
      </c>
      <c r="I53" s="31">
        <v>2.0438325003482518</v>
      </c>
    </row>
    <row r="54" spans="1:9">
      <c r="A54" s="1" t="s">
        <v>121</v>
      </c>
      <c r="B54" s="17">
        <v>52</v>
      </c>
      <c r="C54" s="2">
        <v>52</v>
      </c>
      <c r="D54" s="5">
        <v>33917.113744831884</v>
      </c>
      <c r="E54" s="5">
        <v>23859.932128461252</v>
      </c>
      <c r="F54" s="5">
        <v>1839.6992140159384</v>
      </c>
      <c r="G54" s="5">
        <v>1069.9338638195729</v>
      </c>
      <c r="H54" s="10">
        <v>343.50635822069921</v>
      </c>
      <c r="I54" s="31">
        <v>1.5261084556272166</v>
      </c>
    </row>
    <row r="55" spans="1:9">
      <c r="A55" s="1" t="s">
        <v>122</v>
      </c>
      <c r="B55" s="17">
        <v>53</v>
      </c>
      <c r="C55" s="2">
        <v>53</v>
      </c>
      <c r="D55" s="5">
        <v>21459.211170221213</v>
      </c>
      <c r="E55" s="5">
        <v>20743.353628712895</v>
      </c>
      <c r="F55" s="5">
        <v>1570.5740474194429</v>
      </c>
      <c r="G55" s="5">
        <v>1736.3753663820933</v>
      </c>
      <c r="H55" s="10">
        <v>304.5940229582327</v>
      </c>
      <c r="I55" s="31">
        <v>2.2584038077906357</v>
      </c>
    </row>
    <row r="56" spans="1:9">
      <c r="A56" s="1" t="s">
        <v>123</v>
      </c>
      <c r="B56" s="17">
        <v>54</v>
      </c>
      <c r="C56" s="2">
        <v>54</v>
      </c>
      <c r="D56" s="5">
        <v>20594.438891422531</v>
      </c>
      <c r="E56" s="5">
        <v>12824.686436646798</v>
      </c>
      <c r="F56" s="5">
        <v>1892.0196020379919</v>
      </c>
      <c r="G56" s="5">
        <v>1941.328101383009</v>
      </c>
      <c r="H56" s="10">
        <v>193.92985852723245</v>
      </c>
      <c r="I56" s="31">
        <v>2.24010258390026</v>
      </c>
    </row>
    <row r="57" spans="1:9">
      <c r="A57" s="1" t="s">
        <v>124</v>
      </c>
      <c r="B57" s="17">
        <v>55</v>
      </c>
      <c r="C57" s="2">
        <v>55</v>
      </c>
      <c r="D57" s="5">
        <v>32683.512457109689</v>
      </c>
      <c r="E57" s="5">
        <v>10953.819197016455</v>
      </c>
      <c r="F57" s="5">
        <v>2539.0119639458972</v>
      </c>
      <c r="G57" s="5">
        <v>2704.4408068313023</v>
      </c>
      <c r="H57" s="10">
        <v>565.63348928434311</v>
      </c>
      <c r="I57" s="31">
        <v>2.0336324315207079</v>
      </c>
    </row>
    <row r="58" spans="1:9">
      <c r="A58" s="1" t="s">
        <v>125</v>
      </c>
      <c r="B58" s="17">
        <v>56</v>
      </c>
      <c r="C58" s="2">
        <v>56</v>
      </c>
      <c r="D58" s="5">
        <v>31002.260491867535</v>
      </c>
      <c r="E58" s="5">
        <v>18061.239109552444</v>
      </c>
      <c r="F58" s="5">
        <v>1912.6452365716361</v>
      </c>
      <c r="G58" s="5">
        <v>1879.6108118521477</v>
      </c>
      <c r="H58" s="10">
        <v>359.65372088107574</v>
      </c>
      <c r="I58" s="31">
        <v>2.1161020510948205</v>
      </c>
    </row>
    <row r="59" spans="1:9">
      <c r="A59" s="1" t="s">
        <v>126</v>
      </c>
      <c r="B59" s="17">
        <v>57</v>
      </c>
      <c r="C59" s="2">
        <v>57</v>
      </c>
      <c r="D59" s="5">
        <v>22316.517988314306</v>
      </c>
      <c r="E59" s="5">
        <v>11468.465459357103</v>
      </c>
      <c r="F59" s="5">
        <v>2934.3761320168524</v>
      </c>
      <c r="G59" s="5">
        <v>823.05118387277957</v>
      </c>
      <c r="H59" s="10">
        <v>529.30024571801073</v>
      </c>
      <c r="I59" s="31">
        <v>2.004907725012707</v>
      </c>
    </row>
    <row r="60" spans="1:9">
      <c r="A60" s="1" t="s">
        <v>127</v>
      </c>
      <c r="B60" s="17">
        <v>58</v>
      </c>
      <c r="C60" s="2">
        <v>58</v>
      </c>
      <c r="D60" s="5">
        <v>26837.288776736248</v>
      </c>
      <c r="E60" s="5">
        <v>23199.978135400495</v>
      </c>
      <c r="F60" s="5">
        <v>2029.7898594625551</v>
      </c>
      <c r="G60" s="5">
        <v>1064.0948946465176</v>
      </c>
      <c r="H60" s="10">
        <v>451.50022535530911</v>
      </c>
      <c r="I60" s="31">
        <v>2.1292775853993575</v>
      </c>
    </row>
    <row r="61" spans="1:9">
      <c r="A61" s="1" t="s">
        <v>128</v>
      </c>
      <c r="B61" s="17">
        <v>59</v>
      </c>
      <c r="C61" s="2">
        <v>59</v>
      </c>
      <c r="D61" s="5">
        <v>19026.616607390086</v>
      </c>
      <c r="E61" s="5">
        <v>1627.0686036221468</v>
      </c>
      <c r="F61" s="5">
        <v>1586.7624846768124</v>
      </c>
      <c r="G61" s="5">
        <v>697.62520900887807</v>
      </c>
      <c r="H61" s="10">
        <v>201.61386187614585</v>
      </c>
      <c r="I61" s="31">
        <v>2.3987381334785809</v>
      </c>
    </row>
    <row r="62" spans="1:9">
      <c r="A62" s="1" t="s">
        <v>129</v>
      </c>
      <c r="B62" s="17">
        <v>60</v>
      </c>
      <c r="C62" s="2">
        <v>60</v>
      </c>
      <c r="D62" s="5">
        <v>24375.474425882065</v>
      </c>
      <c r="E62" s="5">
        <v>19560.314111478699</v>
      </c>
      <c r="F62" s="5">
        <v>1548.3391756978492</v>
      </c>
      <c r="G62" s="5">
        <v>1406.9917397900315</v>
      </c>
      <c r="H62" s="10">
        <v>553.44754463989989</v>
      </c>
      <c r="I62" s="31">
        <v>1.44152762918511</v>
      </c>
    </row>
    <row r="63" spans="1:9">
      <c r="A63" s="1" t="s">
        <v>130</v>
      </c>
      <c r="B63" s="17">
        <v>61</v>
      </c>
      <c r="C63" s="2">
        <v>61</v>
      </c>
      <c r="D63" s="5">
        <v>21508.460550120479</v>
      </c>
      <c r="E63" s="5">
        <v>7683.3728782792696</v>
      </c>
      <c r="F63" s="5">
        <v>2287.3439797157444</v>
      </c>
      <c r="G63" s="5">
        <v>1413.5725653622319</v>
      </c>
      <c r="H63" s="10">
        <v>576.91449908420213</v>
      </c>
      <c r="I63" s="31">
        <v>1.5854991099962703</v>
      </c>
    </row>
    <row r="64" spans="1:9">
      <c r="A64" s="1" t="s">
        <v>131</v>
      </c>
      <c r="B64" s="17">
        <v>62</v>
      </c>
      <c r="C64" s="2">
        <v>62</v>
      </c>
      <c r="D64" s="5">
        <v>18135.054277357856</v>
      </c>
      <c r="E64" s="5">
        <v>7674.7663183044187</v>
      </c>
      <c r="F64" s="5">
        <v>3250.5346802471577</v>
      </c>
      <c r="G64" s="5">
        <v>1094.0162312025893</v>
      </c>
      <c r="H64" s="10">
        <v>377.52070624778457</v>
      </c>
      <c r="I64" s="31">
        <v>2.0886622411211633</v>
      </c>
    </row>
    <row r="65" spans="1:9">
      <c r="A65" s="1" t="s">
        <v>132</v>
      </c>
      <c r="B65" s="17">
        <v>63</v>
      </c>
      <c r="C65" s="2">
        <v>63</v>
      </c>
      <c r="D65" s="5">
        <v>22339.273165760096</v>
      </c>
      <c r="E65" s="5">
        <v>19179.357653326231</v>
      </c>
      <c r="F65" s="5">
        <v>1837.8677190602432</v>
      </c>
      <c r="G65" s="5">
        <v>1522.504988883087</v>
      </c>
      <c r="H65" s="10">
        <v>295.20012002253384</v>
      </c>
      <c r="I65" s="31">
        <v>1.4911554216172576</v>
      </c>
    </row>
    <row r="66" spans="1:9">
      <c r="A66" s="1" t="s">
        <v>133</v>
      </c>
      <c r="B66" s="17">
        <v>64</v>
      </c>
      <c r="C66" s="2">
        <v>64</v>
      </c>
      <c r="D66" s="5">
        <v>19614.008623581274</v>
      </c>
      <c r="E66" s="5">
        <v>16083.403296757351</v>
      </c>
      <c r="F66" s="5">
        <v>1344.2553858302674</v>
      </c>
      <c r="G66" s="5">
        <v>1332.6505989070245</v>
      </c>
      <c r="H66" s="10">
        <v>304.54609208722718</v>
      </c>
      <c r="I66" s="31">
        <v>2.4430114777072944</v>
      </c>
    </row>
    <row r="67" spans="1:9">
      <c r="A67" s="1" t="s">
        <v>134</v>
      </c>
      <c r="B67" s="17">
        <v>65</v>
      </c>
      <c r="C67" s="2">
        <v>65</v>
      </c>
      <c r="D67" s="5">
        <v>27403.807717295284</v>
      </c>
      <c r="E67" s="5">
        <v>-6713.6732121782097</v>
      </c>
      <c r="F67" s="5">
        <v>1863.9463427652047</v>
      </c>
      <c r="G67" s="5">
        <v>828.40398203363634</v>
      </c>
      <c r="H67" s="10">
        <v>285.25405345285139</v>
      </c>
      <c r="I67" s="31">
        <v>1.868011192381708</v>
      </c>
    </row>
    <row r="68" spans="1:9">
      <c r="A68" s="1" t="s">
        <v>135</v>
      </c>
      <c r="B68" s="17">
        <v>66</v>
      </c>
      <c r="C68" s="2">
        <v>66</v>
      </c>
      <c r="D68" s="5">
        <v>25607.917497103561</v>
      </c>
      <c r="E68" s="5">
        <v>18108.761076238632</v>
      </c>
      <c r="F68" s="5">
        <v>2209.6566475928666</v>
      </c>
      <c r="G68" s="5">
        <v>370.81994827797075</v>
      </c>
      <c r="H68" s="10">
        <v>436.129342805222</v>
      </c>
      <c r="I68" s="31">
        <v>2.1980612396413548</v>
      </c>
    </row>
    <row r="69" spans="1:9">
      <c r="A69" s="1" t="s">
        <v>136</v>
      </c>
      <c r="B69" s="17">
        <v>67</v>
      </c>
      <c r="C69" s="2">
        <v>67</v>
      </c>
      <c r="D69" s="5">
        <v>28817.285063299867</v>
      </c>
      <c r="E69" s="5">
        <v>3163.4603855689511</v>
      </c>
      <c r="F69" s="5">
        <v>1626.2908297184297</v>
      </c>
      <c r="G69" s="5">
        <v>1455.442891359711</v>
      </c>
      <c r="H69" s="10">
        <v>532.23142389801683</v>
      </c>
      <c r="I69" s="31">
        <v>2.1599536884326866</v>
      </c>
    </row>
    <row r="70" spans="1:9">
      <c r="A70" s="1" t="s">
        <v>137</v>
      </c>
      <c r="B70" s="17">
        <v>68</v>
      </c>
      <c r="C70" s="2">
        <v>68</v>
      </c>
      <c r="D70" s="5">
        <v>26938.336871767297</v>
      </c>
      <c r="E70" s="5">
        <v>21511.456576274039</v>
      </c>
      <c r="F70" s="5">
        <v>2368.7193128543113</v>
      </c>
      <c r="G70" s="5">
        <v>657.28715144807552</v>
      </c>
      <c r="H70" s="10">
        <v>221.55146087029311</v>
      </c>
      <c r="I70" s="31">
        <v>1.651120764281039</v>
      </c>
    </row>
    <row r="71" spans="1:9">
      <c r="A71" s="1" t="s">
        <v>138</v>
      </c>
      <c r="B71" s="17">
        <v>69</v>
      </c>
      <c r="C71" s="2">
        <v>69</v>
      </c>
      <c r="D71" s="5">
        <v>17392.398303524122</v>
      </c>
      <c r="E71" s="5">
        <v>19025.499128678632</v>
      </c>
      <c r="F71" s="5">
        <v>1480.5852310208977</v>
      </c>
      <c r="G71" s="5">
        <v>1526.4232445123741</v>
      </c>
      <c r="H71" s="10">
        <v>631.94790350066501</v>
      </c>
      <c r="I71" s="31">
        <v>2.2558724974800484</v>
      </c>
    </row>
    <row r="72" spans="1:9">
      <c r="A72" s="1" t="s">
        <v>139</v>
      </c>
      <c r="B72" s="17">
        <v>70</v>
      </c>
      <c r="C72" s="2">
        <v>70</v>
      </c>
      <c r="D72" s="5">
        <v>25585.074194489243</v>
      </c>
      <c r="E72" s="5">
        <v>3007.2410982500605</v>
      </c>
      <c r="F72" s="5">
        <v>2124.6774416985245</v>
      </c>
      <c r="G72" s="5">
        <v>723.8096052941944</v>
      </c>
      <c r="H72" s="10">
        <v>504.26608873717373</v>
      </c>
      <c r="I72" s="31">
        <v>1.8420657961809397</v>
      </c>
    </row>
    <row r="73" spans="1:9">
      <c r="A73" s="1" t="s">
        <v>140</v>
      </c>
      <c r="B73" s="17">
        <v>71</v>
      </c>
      <c r="C73" s="2">
        <v>71</v>
      </c>
      <c r="D73" s="5">
        <v>21483.628136559309</v>
      </c>
      <c r="E73" s="5">
        <v>7242.7467494588291</v>
      </c>
      <c r="F73" s="5">
        <v>1665.301331214225</v>
      </c>
      <c r="G73" s="5">
        <v>300.60480740114485</v>
      </c>
      <c r="H73" s="10">
        <v>461.23484831118435</v>
      </c>
      <c r="I73" s="31">
        <v>2.4197497194012598</v>
      </c>
    </row>
    <row r="74" spans="1:9">
      <c r="A74" s="1" t="s">
        <v>141</v>
      </c>
      <c r="B74" s="17">
        <v>72</v>
      </c>
      <c r="C74" s="2">
        <v>72</v>
      </c>
      <c r="D74" s="5">
        <v>28585.742477638494</v>
      </c>
      <c r="E74" s="5">
        <v>15840.012383084113</v>
      </c>
      <c r="F74" s="5">
        <v>1639.6592649661145</v>
      </c>
      <c r="G74" s="5">
        <v>1837.7706026430349</v>
      </c>
      <c r="H74" s="10">
        <v>407.76727697779893</v>
      </c>
      <c r="I74" s="31">
        <v>2.3311463757721853</v>
      </c>
    </row>
    <row r="75" spans="1:9">
      <c r="A75" s="1" t="s">
        <v>142</v>
      </c>
      <c r="B75" s="17">
        <v>73</v>
      </c>
      <c r="C75" s="2">
        <v>73</v>
      </c>
      <c r="D75" s="5">
        <v>20383.014022805899</v>
      </c>
      <c r="E75" s="5">
        <v>12632.358633666681</v>
      </c>
      <c r="F75" s="5">
        <v>2532.0986673440457</v>
      </c>
      <c r="G75" s="5">
        <v>911.85084168493972</v>
      </c>
      <c r="H75" s="10">
        <v>302.73594850736731</v>
      </c>
      <c r="I75" s="31">
        <v>2.1622989987457899</v>
      </c>
    </row>
    <row r="76" spans="1:9">
      <c r="A76" s="1" t="s">
        <v>143</v>
      </c>
      <c r="B76" s="17">
        <v>74</v>
      </c>
      <c r="C76" s="2">
        <v>74</v>
      </c>
      <c r="D76" s="5">
        <v>28001.327833212687</v>
      </c>
      <c r="E76" s="5">
        <v>18397.285310903098</v>
      </c>
      <c r="F76" s="5">
        <v>2650.8775385272129</v>
      </c>
      <c r="G76" s="5">
        <v>1064.9049747907372</v>
      </c>
      <c r="H76" s="10">
        <v>268.30788859083145</v>
      </c>
      <c r="I76" s="31">
        <v>2.1410447576539795</v>
      </c>
    </row>
    <row r="77" spans="1:9">
      <c r="A77" s="1" t="s">
        <v>144</v>
      </c>
      <c r="B77" s="17">
        <v>75</v>
      </c>
      <c r="C77" s="2">
        <v>75</v>
      </c>
      <c r="D77" s="5">
        <v>25081.690642528061</v>
      </c>
      <c r="E77" s="5">
        <v>13666.883872457956</v>
      </c>
      <c r="F77" s="5">
        <v>1426.8386416196265</v>
      </c>
      <c r="G77" s="5">
        <v>1003.0659888497428</v>
      </c>
      <c r="H77" s="10">
        <v>246.43032182907223</v>
      </c>
      <c r="I77" s="31">
        <v>2.0082824491049891</v>
      </c>
    </row>
    <row r="78" spans="1:9">
      <c r="A78" s="1" t="s">
        <v>145</v>
      </c>
      <c r="B78" s="17">
        <v>76</v>
      </c>
      <c r="C78" s="2">
        <v>76</v>
      </c>
      <c r="D78" s="5">
        <v>24554.469232479139</v>
      </c>
      <c r="E78" s="5">
        <v>18099.773448273536</v>
      </c>
      <c r="F78" s="5">
        <v>1335.8573391277716</v>
      </c>
      <c r="G78" s="5">
        <v>1754.3360355584116</v>
      </c>
      <c r="H78" s="10">
        <v>132.93330597630006</v>
      </c>
      <c r="I78" s="31">
        <v>1.1505284951903363</v>
      </c>
    </row>
    <row r="79" spans="1:9">
      <c r="A79" s="1" t="s">
        <v>146</v>
      </c>
      <c r="B79" s="17">
        <v>77</v>
      </c>
      <c r="C79" s="2">
        <v>77</v>
      </c>
      <c r="D79" s="5">
        <v>25994.71145109769</v>
      </c>
      <c r="E79" s="5">
        <v>26657.547426031495</v>
      </c>
      <c r="F79" s="5">
        <v>2134.3675393117264</v>
      </c>
      <c r="G79" s="5">
        <v>902.06042695256087</v>
      </c>
      <c r="H79" s="10">
        <v>328.84978259394006</v>
      </c>
      <c r="I79" s="31">
        <v>2.5402873384604376</v>
      </c>
    </row>
    <row r="80" spans="1:9">
      <c r="A80" s="1" t="s">
        <v>147</v>
      </c>
      <c r="B80" s="17">
        <v>78</v>
      </c>
      <c r="C80" s="2">
        <v>78</v>
      </c>
      <c r="D80" s="5">
        <v>19525.682026093225</v>
      </c>
      <c r="E80" s="5">
        <v>-2824.3260055734845</v>
      </c>
      <c r="F80" s="5">
        <v>1374.9315052526911</v>
      </c>
      <c r="G80" s="5">
        <v>969.91539502680439</v>
      </c>
      <c r="H80" s="10">
        <v>338.16083359547224</v>
      </c>
      <c r="I80" s="31">
        <v>2.0010936560987815</v>
      </c>
    </row>
    <row r="81" spans="1:9">
      <c r="A81" s="1" t="s">
        <v>148</v>
      </c>
      <c r="B81" s="17">
        <v>79</v>
      </c>
      <c r="C81" s="2">
        <v>79</v>
      </c>
      <c r="D81" s="5">
        <v>32975.005335991998</v>
      </c>
      <c r="E81" s="5">
        <v>15022.407774155736</v>
      </c>
      <c r="F81" s="5">
        <v>2435.3864113626441</v>
      </c>
      <c r="G81" s="5">
        <v>510.16725490710428</v>
      </c>
      <c r="H81" s="10">
        <v>186.86457425032745</v>
      </c>
      <c r="I81" s="31">
        <v>2.7109594396000816</v>
      </c>
    </row>
    <row r="82" spans="1:9">
      <c r="A82" s="1" t="s">
        <v>149</v>
      </c>
      <c r="B82" s="17">
        <v>80</v>
      </c>
      <c r="C82" s="2">
        <v>80</v>
      </c>
      <c r="D82" s="5">
        <v>32319.404439357502</v>
      </c>
      <c r="E82" s="5">
        <v>21928.568021793864</v>
      </c>
      <c r="F82" s="5">
        <v>1961.9682711171592</v>
      </c>
      <c r="G82" s="5">
        <v>1494.6063941742284</v>
      </c>
      <c r="H82" s="10">
        <v>506.4813166497031</v>
      </c>
      <c r="I82" s="31">
        <v>2.7166613015919197</v>
      </c>
    </row>
    <row r="83" spans="1:9">
      <c r="A83" s="1" t="s">
        <v>150</v>
      </c>
      <c r="B83" s="17">
        <v>81</v>
      </c>
      <c r="C83" s="2">
        <v>81</v>
      </c>
      <c r="D83" s="5">
        <v>25273.123687197858</v>
      </c>
      <c r="E83" s="5">
        <v>21804.525743797793</v>
      </c>
      <c r="F83" s="5">
        <v>2477.907562407283</v>
      </c>
      <c r="G83" s="5">
        <v>1122.5792391405082</v>
      </c>
      <c r="H83" s="10">
        <v>477.28895119111871</v>
      </c>
      <c r="I83" s="31">
        <v>2.0128501386983757</v>
      </c>
    </row>
    <row r="84" spans="1:9">
      <c r="A84" s="1" t="s">
        <v>151</v>
      </c>
      <c r="B84" s="17">
        <v>82</v>
      </c>
      <c r="C84" s="2">
        <v>82</v>
      </c>
      <c r="D84" s="5">
        <v>27414.88630991066</v>
      </c>
      <c r="E84" s="5">
        <v>5440.4438650493012</v>
      </c>
      <c r="F84" s="5">
        <v>2309.996650565965</v>
      </c>
      <c r="G84" s="5">
        <v>988.24607046019423</v>
      </c>
      <c r="H84" s="10">
        <v>306.02304764092582</v>
      </c>
      <c r="I84" s="31">
        <v>1.8750070371146634</v>
      </c>
    </row>
    <row r="85" spans="1:9">
      <c r="A85" s="1" t="s">
        <v>152</v>
      </c>
      <c r="B85" s="17">
        <v>83</v>
      </c>
      <c r="C85" s="2">
        <v>83</v>
      </c>
      <c r="D85" s="5">
        <v>20501.894875154765</v>
      </c>
      <c r="E85" s="5">
        <v>7283.6604395336599</v>
      </c>
      <c r="F85" s="5">
        <v>1975.5004154111632</v>
      </c>
      <c r="G85" s="5">
        <v>1092.7820575079056</v>
      </c>
      <c r="H85" s="10">
        <v>314.07324284432138</v>
      </c>
      <c r="I85" s="31">
        <v>1.8491562443608913</v>
      </c>
    </row>
    <row r="86" spans="1:9">
      <c r="A86" s="1" t="s">
        <v>153</v>
      </c>
      <c r="B86" s="17">
        <v>84</v>
      </c>
      <c r="C86" s="2">
        <v>84</v>
      </c>
      <c r="D86" s="5">
        <v>18923.535338827922</v>
      </c>
      <c r="E86" s="5">
        <v>8631.154030412572</v>
      </c>
      <c r="F86" s="5">
        <v>1807.8089191666479</v>
      </c>
      <c r="G86" s="5">
        <v>2105.3109408957644</v>
      </c>
      <c r="H86" s="10">
        <v>489.87422846371078</v>
      </c>
      <c r="I86" s="31">
        <v>2.133884826716347</v>
      </c>
    </row>
    <row r="87" spans="1:9">
      <c r="A87" s="1" t="s">
        <v>154</v>
      </c>
      <c r="B87" s="17">
        <v>85</v>
      </c>
      <c r="C87" s="2">
        <v>85</v>
      </c>
      <c r="D87" s="5">
        <v>22026.346986959968</v>
      </c>
      <c r="E87" s="5">
        <v>29417.148867989279</v>
      </c>
      <c r="F87" s="5">
        <v>2970.9832937632127</v>
      </c>
      <c r="G87" s="5">
        <v>1786.0508575931124</v>
      </c>
      <c r="H87" s="10">
        <v>320.2969979717152</v>
      </c>
      <c r="I87" s="31">
        <v>2.0878348618220102</v>
      </c>
    </row>
    <row r="88" spans="1:9">
      <c r="A88" s="1" t="s">
        <v>155</v>
      </c>
      <c r="B88" s="17">
        <v>86</v>
      </c>
      <c r="C88" s="2">
        <v>86</v>
      </c>
      <c r="D88" s="5">
        <v>18445.909514697494</v>
      </c>
      <c r="E88" s="5">
        <v>11261.359653828376</v>
      </c>
      <c r="F88" s="5">
        <v>1729.8538545409358</v>
      </c>
      <c r="G88" s="5">
        <v>2111.3490496490376</v>
      </c>
      <c r="H88" s="10">
        <v>328.17436814879943</v>
      </c>
      <c r="I88" s="31">
        <v>2.1442479127830651</v>
      </c>
    </row>
    <row r="89" spans="1:9">
      <c r="A89" s="1" t="s">
        <v>156</v>
      </c>
      <c r="B89" s="17">
        <v>87</v>
      </c>
      <c r="C89" s="2">
        <v>87</v>
      </c>
      <c r="D89" s="5">
        <v>30066.194951726946</v>
      </c>
      <c r="E89" s="5">
        <v>34946.389640428431</v>
      </c>
      <c r="F89" s="5">
        <v>1911.342953845535</v>
      </c>
      <c r="G89" s="5">
        <v>2076.6692605310927</v>
      </c>
      <c r="H89" s="10">
        <v>230.39128293716817</v>
      </c>
      <c r="I89" s="31">
        <v>1.8832835025199515</v>
      </c>
    </row>
    <row r="90" spans="1:9">
      <c r="A90" s="1" t="s">
        <v>157</v>
      </c>
      <c r="B90" s="17">
        <v>88</v>
      </c>
      <c r="C90" s="2">
        <v>88</v>
      </c>
      <c r="D90" s="5">
        <v>25890.654511026783</v>
      </c>
      <c r="E90" s="5">
        <v>15416.775966696659</v>
      </c>
      <c r="F90" s="5">
        <v>1680.3210677798163</v>
      </c>
      <c r="G90" s="5">
        <v>1240.02057731734</v>
      </c>
      <c r="H90" s="10">
        <v>462.8603895650001</v>
      </c>
      <c r="I90" s="31">
        <v>2.147053412745116</v>
      </c>
    </row>
    <row r="91" spans="1:9">
      <c r="A91" s="1" t="s">
        <v>158</v>
      </c>
      <c r="B91" s="17">
        <v>89</v>
      </c>
      <c r="C91" s="2">
        <v>89</v>
      </c>
      <c r="D91" s="5">
        <v>28164.327921721313</v>
      </c>
      <c r="E91" s="5">
        <v>17678.061303847069</v>
      </c>
      <c r="F91" s="5">
        <v>2553.1136792968864</v>
      </c>
      <c r="G91" s="5">
        <v>955.11514474394403</v>
      </c>
      <c r="H91" s="10">
        <v>251.58206879009117</v>
      </c>
      <c r="I91" s="31">
        <v>2.272486359324283</v>
      </c>
    </row>
    <row r="92" spans="1:9">
      <c r="A92" s="1" t="s">
        <v>159</v>
      </c>
      <c r="B92" s="17">
        <v>90</v>
      </c>
      <c r="C92" s="2">
        <v>90</v>
      </c>
      <c r="D92" s="5">
        <v>14805.030766132266</v>
      </c>
      <c r="E92" s="5">
        <v>33204.407030572664</v>
      </c>
      <c r="F92" s="5">
        <v>1198.0256908108388</v>
      </c>
      <c r="G92" s="5">
        <v>908.10836975917823</v>
      </c>
      <c r="H92" s="10">
        <v>483.82863923111177</v>
      </c>
      <c r="I92" s="31">
        <v>1.655750453873587</v>
      </c>
    </row>
    <row r="93" spans="1:9">
      <c r="A93" s="1" t="s">
        <v>160</v>
      </c>
      <c r="B93" s="17">
        <v>91</v>
      </c>
      <c r="C93" s="2">
        <v>91</v>
      </c>
      <c r="D93" s="5">
        <v>23369.978842248518</v>
      </c>
      <c r="E93" s="5">
        <v>3755.2496800815879</v>
      </c>
      <c r="F93" s="5">
        <v>2494.0988418355955</v>
      </c>
      <c r="G93" s="5">
        <v>1673.5394532833413</v>
      </c>
      <c r="H93" s="10">
        <v>220.91055665227645</v>
      </c>
      <c r="I93" s="31">
        <v>1.8504005202061293</v>
      </c>
    </row>
    <row r="94" spans="1:9">
      <c r="A94" s="1" t="s">
        <v>161</v>
      </c>
      <c r="B94" s="17">
        <v>92</v>
      </c>
      <c r="C94" s="2">
        <v>92</v>
      </c>
      <c r="D94" s="5">
        <v>21351.333374628983</v>
      </c>
      <c r="E94" s="5">
        <v>22947.060521971078</v>
      </c>
      <c r="F94" s="5">
        <v>1965.9910798699386</v>
      </c>
      <c r="G94" s="5">
        <v>1444.4908290760611</v>
      </c>
      <c r="H94" s="10">
        <v>215.03204074146811</v>
      </c>
      <c r="I94" s="31">
        <v>2.4556199258126057</v>
      </c>
    </row>
    <row r="95" spans="1:9">
      <c r="A95" s="1" t="s">
        <v>162</v>
      </c>
      <c r="B95" s="17">
        <v>93</v>
      </c>
      <c r="C95" s="2">
        <v>93</v>
      </c>
      <c r="D95" s="5">
        <v>24971.603423067652</v>
      </c>
      <c r="E95" s="5">
        <v>14580.015720502442</v>
      </c>
      <c r="F95" s="5">
        <v>2280.7620802458514</v>
      </c>
      <c r="G95" s="5">
        <v>693.48998957768686</v>
      </c>
      <c r="H95" s="10">
        <v>387.93594757193819</v>
      </c>
      <c r="I95" s="31">
        <v>1.9313596915248112</v>
      </c>
    </row>
    <row r="96" spans="1:9">
      <c r="A96" s="1" t="s">
        <v>163</v>
      </c>
      <c r="B96" s="17">
        <v>94</v>
      </c>
      <c r="C96" s="2">
        <v>94</v>
      </c>
      <c r="D96" s="5">
        <v>19869.703800075145</v>
      </c>
      <c r="E96" s="5">
        <v>12026.395468785095</v>
      </c>
      <c r="F96" s="5">
        <v>2628.7108789082522</v>
      </c>
      <c r="G96" s="5">
        <v>1907.4915823393201</v>
      </c>
      <c r="H96" s="10">
        <v>314.22401966997018</v>
      </c>
      <c r="I96" s="31">
        <v>1.7405557630712778</v>
      </c>
    </row>
    <row r="97" spans="1:9">
      <c r="A97" s="1" t="s">
        <v>164</v>
      </c>
      <c r="B97" s="17">
        <v>95</v>
      </c>
      <c r="C97" s="2">
        <v>95</v>
      </c>
      <c r="D97" s="5">
        <v>27619.021968158766</v>
      </c>
      <c r="E97" s="5">
        <v>9418.1616680264688</v>
      </c>
      <c r="F97" s="5">
        <v>757.87345615107574</v>
      </c>
      <c r="G97" s="5">
        <v>1491.715182491065</v>
      </c>
      <c r="H97" s="10">
        <v>415.2097087368445</v>
      </c>
      <c r="I97" s="31">
        <v>1.8227453136836615</v>
      </c>
    </row>
    <row r="98" spans="1:9">
      <c r="A98" s="1" t="s">
        <v>165</v>
      </c>
      <c r="B98" s="17">
        <v>96</v>
      </c>
      <c r="C98" s="2">
        <v>96</v>
      </c>
      <c r="D98" s="5">
        <v>15413.018893140223</v>
      </c>
      <c r="E98" s="5">
        <v>25062.341052809468</v>
      </c>
      <c r="F98" s="5">
        <v>1199.2739722890221</v>
      </c>
      <c r="G98" s="5">
        <v>783.45068031278402</v>
      </c>
      <c r="H98" s="10">
        <v>229.29079013888145</v>
      </c>
      <c r="I98" s="31">
        <v>1.6552736952593463</v>
      </c>
    </row>
    <row r="99" spans="1:9">
      <c r="A99" s="1" t="s">
        <v>166</v>
      </c>
      <c r="B99" s="17">
        <v>97</v>
      </c>
      <c r="C99" s="2">
        <v>97</v>
      </c>
      <c r="D99" s="5">
        <v>19010.766666364223</v>
      </c>
      <c r="E99" s="5">
        <v>12621.344839314415</v>
      </c>
      <c r="F99" s="5">
        <v>1424.0055656236038</v>
      </c>
      <c r="G99" s="5">
        <v>629.07202314720394</v>
      </c>
      <c r="H99" s="10">
        <v>353.11896287352897</v>
      </c>
      <c r="I99" s="31">
        <v>2.9498326087827067</v>
      </c>
    </row>
    <row r="100" spans="1:9">
      <c r="A100" s="1" t="s">
        <v>167</v>
      </c>
      <c r="B100" s="17">
        <v>98</v>
      </c>
      <c r="C100" s="2">
        <v>98</v>
      </c>
      <c r="D100" s="5">
        <v>20420.618291149229</v>
      </c>
      <c r="E100" s="5">
        <v>18059.956490463319</v>
      </c>
      <c r="F100" s="5">
        <v>2305.6066333273448</v>
      </c>
      <c r="G100" s="5">
        <v>399.54030106939513</v>
      </c>
      <c r="H100" s="10">
        <v>218.26723758899493</v>
      </c>
      <c r="I100" s="31">
        <v>2.6107385788867745</v>
      </c>
    </row>
    <row r="101" spans="1:9">
      <c r="A101" s="1" t="s">
        <v>168</v>
      </c>
      <c r="B101" s="17">
        <v>99</v>
      </c>
      <c r="C101" s="2">
        <v>99</v>
      </c>
      <c r="D101" s="5">
        <v>19808.343504157707</v>
      </c>
      <c r="E101" s="5">
        <v>12338.332148996697</v>
      </c>
      <c r="F101" s="5">
        <v>2417.4909662368846</v>
      </c>
      <c r="G101" s="5">
        <v>1384.4508602687017</v>
      </c>
      <c r="H101" s="10">
        <v>269.89166151419954</v>
      </c>
      <c r="I101" s="31">
        <v>1.5702107653754851</v>
      </c>
    </row>
    <row r="102" spans="1:9">
      <c r="A102" s="1" t="s">
        <v>169</v>
      </c>
      <c r="B102" s="17">
        <v>100</v>
      </c>
      <c r="C102" s="2">
        <v>100</v>
      </c>
      <c r="D102" s="5">
        <v>22935.811315513864</v>
      </c>
      <c r="E102" s="5">
        <v>17765.874239745979</v>
      </c>
      <c r="F102" s="5">
        <v>2516.1199823022725</v>
      </c>
      <c r="G102" s="5">
        <v>1686.47369194416</v>
      </c>
      <c r="H102" s="10">
        <v>269.83729421194471</v>
      </c>
      <c r="I102" s="31">
        <v>2.3169889966533432</v>
      </c>
    </row>
    <row r="103" spans="1:9">
      <c r="A103" s="1" t="s">
        <v>170</v>
      </c>
      <c r="B103" s="17">
        <v>101</v>
      </c>
      <c r="C103" s="2">
        <v>101</v>
      </c>
      <c r="D103" s="5">
        <v>34103.888744879303</v>
      </c>
      <c r="E103" s="5">
        <v>5424.0672358098982</v>
      </c>
      <c r="F103" s="5">
        <v>2105.8275955700919</v>
      </c>
      <c r="G103" s="5">
        <v>482.23239712653935</v>
      </c>
      <c r="H103" s="10">
        <v>489.934484415832</v>
      </c>
      <c r="I103" s="31">
        <v>2.0404102072910959</v>
      </c>
    </row>
    <row r="104" spans="1:9">
      <c r="A104" s="1" t="s">
        <v>171</v>
      </c>
      <c r="B104" s="17">
        <v>102</v>
      </c>
      <c r="C104" s="2">
        <v>102</v>
      </c>
      <c r="D104" s="5">
        <v>18956.229776353073</v>
      </c>
      <c r="E104" s="5">
        <v>12205.655428002101</v>
      </c>
      <c r="F104" s="5">
        <v>1864.6801913026977</v>
      </c>
      <c r="G104" s="5">
        <v>1218.8914990792216</v>
      </c>
      <c r="H104" s="10">
        <v>345.31403678433594</v>
      </c>
      <c r="I104" s="31">
        <v>2.3362421343239461</v>
      </c>
    </row>
    <row r="105" spans="1:9">
      <c r="A105" s="1" t="s">
        <v>172</v>
      </c>
      <c r="B105" s="17">
        <v>103</v>
      </c>
      <c r="C105" s="2">
        <v>103</v>
      </c>
      <c r="D105" s="5">
        <v>32724.32699944952</v>
      </c>
      <c r="E105" s="5">
        <v>27019.171654434838</v>
      </c>
      <c r="F105" s="5">
        <v>984.97428318377592</v>
      </c>
      <c r="G105" s="5">
        <v>613.2834505032622</v>
      </c>
      <c r="H105" s="10">
        <v>469.99798098445058</v>
      </c>
      <c r="I105" s="31">
        <v>1.5137864902766509</v>
      </c>
    </row>
    <row r="106" spans="1:9">
      <c r="A106" s="1" t="s">
        <v>173</v>
      </c>
      <c r="B106" s="17">
        <v>104</v>
      </c>
      <c r="C106" s="2">
        <v>104</v>
      </c>
      <c r="D106" s="5">
        <v>21892.963249732791</v>
      </c>
      <c r="E106" s="5">
        <v>8293.4534363237708</v>
      </c>
      <c r="F106" s="5">
        <v>2880.1247730560972</v>
      </c>
      <c r="G106" s="5">
        <v>1065.8490439117702</v>
      </c>
      <c r="H106" s="10">
        <v>475.23203209825328</v>
      </c>
      <c r="I106" s="31">
        <v>2.1939596190071811</v>
      </c>
    </row>
    <row r="107" spans="1:9">
      <c r="A107" s="1" t="s">
        <v>174</v>
      </c>
      <c r="B107" s="17">
        <v>105</v>
      </c>
      <c r="C107" s="2">
        <v>105</v>
      </c>
      <c r="D107" s="5">
        <v>26045.874406085066</v>
      </c>
      <c r="E107" s="5">
        <v>13456.701639983576</v>
      </c>
      <c r="F107" s="5">
        <v>1696.873302917895</v>
      </c>
      <c r="G107" s="5">
        <v>1566.2548483259559</v>
      </c>
      <c r="H107" s="10">
        <v>232.67443574117965</v>
      </c>
      <c r="I107" s="31">
        <v>1.9048782091243979</v>
      </c>
    </row>
    <row r="108" spans="1:9">
      <c r="A108" s="1" t="s">
        <v>175</v>
      </c>
      <c r="B108" s="17">
        <v>106</v>
      </c>
      <c r="C108" s="2">
        <v>106</v>
      </c>
      <c r="D108" s="5">
        <v>28273.565362770885</v>
      </c>
      <c r="E108" s="5">
        <v>34810.320484886513</v>
      </c>
      <c r="F108" s="5">
        <v>1903.1444275432407</v>
      </c>
      <c r="G108" s="5">
        <v>2070.1099469505825</v>
      </c>
      <c r="H108" s="10">
        <v>297.21431216753149</v>
      </c>
      <c r="I108" s="31">
        <v>1.0426014621674753</v>
      </c>
    </row>
    <row r="109" spans="1:9">
      <c r="A109" s="1" t="s">
        <v>176</v>
      </c>
      <c r="B109" s="17">
        <v>107</v>
      </c>
      <c r="C109" s="2">
        <v>107</v>
      </c>
      <c r="D109" s="5">
        <v>29118.144388666085</v>
      </c>
      <c r="E109" s="5">
        <v>15167.566795416233</v>
      </c>
      <c r="F109" s="5">
        <v>2328.2695359929603</v>
      </c>
      <c r="G109" s="5">
        <v>1162.8238731945419</v>
      </c>
      <c r="H109" s="10">
        <v>326.16455825486514</v>
      </c>
      <c r="I109" s="31">
        <v>1.297750700095456</v>
      </c>
    </row>
    <row r="110" spans="1:9">
      <c r="A110" s="1" t="s">
        <v>177</v>
      </c>
      <c r="B110" s="17">
        <v>108</v>
      </c>
      <c r="C110" s="2">
        <v>108</v>
      </c>
      <c r="D110" s="5">
        <v>23929.812859308957</v>
      </c>
      <c r="E110" s="5">
        <v>18487.551952885551</v>
      </c>
      <c r="F110" s="5">
        <v>2579.3776125473341</v>
      </c>
      <c r="G110" s="5">
        <v>1688.2155486427325</v>
      </c>
      <c r="H110" s="10">
        <v>444.78004334964385</v>
      </c>
      <c r="I110" s="31">
        <v>1.5893933513229044</v>
      </c>
    </row>
    <row r="111" spans="1:9">
      <c r="A111" s="1" t="s">
        <v>178</v>
      </c>
      <c r="B111" s="17">
        <v>109</v>
      </c>
      <c r="C111" s="2">
        <v>109</v>
      </c>
      <c r="D111" s="5">
        <v>19689.682964730171</v>
      </c>
      <c r="E111" s="5">
        <v>15693.459210639785</v>
      </c>
      <c r="F111" s="5">
        <v>2238.9844411199119</v>
      </c>
      <c r="G111" s="5">
        <v>1728.9346757706187</v>
      </c>
      <c r="H111" s="10">
        <v>483.63965465400429</v>
      </c>
      <c r="I111" s="31">
        <v>1.6173831440477429</v>
      </c>
    </row>
    <row r="112" spans="1:9">
      <c r="A112" s="1" t="s">
        <v>179</v>
      </c>
      <c r="B112" s="17">
        <v>110</v>
      </c>
      <c r="C112" s="2">
        <v>110</v>
      </c>
      <c r="D112" s="5">
        <v>28848.305122622922</v>
      </c>
      <c r="E112" s="5">
        <v>14268.785410223982</v>
      </c>
      <c r="F112" s="5">
        <v>1610.9982447423065</v>
      </c>
      <c r="G112" s="5">
        <v>976.1796870069918</v>
      </c>
      <c r="H112" s="10">
        <v>390.76838815767292</v>
      </c>
      <c r="I112" s="31">
        <v>2.4366853398618318</v>
      </c>
    </row>
    <row r="113" spans="1:9">
      <c r="A113" s="1" t="s">
        <v>180</v>
      </c>
      <c r="B113" s="17">
        <v>111</v>
      </c>
      <c r="C113" s="2">
        <v>111</v>
      </c>
      <c r="D113" s="5">
        <v>20369.25390720521</v>
      </c>
      <c r="E113" s="5">
        <v>24159.972051904158</v>
      </c>
      <c r="F113" s="5">
        <v>1930.324108271536</v>
      </c>
      <c r="G113" s="5">
        <v>46.414196563022188</v>
      </c>
      <c r="H113" s="10">
        <v>363.83548395828871</v>
      </c>
      <c r="I113" s="31">
        <v>2.1571706367461942</v>
      </c>
    </row>
    <row r="114" spans="1:9">
      <c r="A114" s="1" t="s">
        <v>181</v>
      </c>
      <c r="B114" s="17">
        <v>112</v>
      </c>
      <c r="C114" s="2">
        <v>112</v>
      </c>
      <c r="D114" s="5">
        <v>22393.438671132433</v>
      </c>
      <c r="E114" s="5">
        <v>32457.588124418005</v>
      </c>
      <c r="F114" s="5">
        <v>1542.7901211486571</v>
      </c>
      <c r="G114" s="5">
        <v>708.95035069126948</v>
      </c>
      <c r="H114" s="10">
        <v>413.64305398169267</v>
      </c>
      <c r="I114" s="31">
        <v>2.9463306777955935</v>
      </c>
    </row>
    <row r="115" spans="1:9">
      <c r="A115" s="1" t="s">
        <v>182</v>
      </c>
      <c r="B115" s="17">
        <v>113</v>
      </c>
      <c r="C115" s="2">
        <v>113</v>
      </c>
      <c r="D115" s="5">
        <v>25945.109570524299</v>
      </c>
      <c r="E115" s="5">
        <v>16034.617299664487</v>
      </c>
      <c r="F115" s="5">
        <v>1939.3894967114577</v>
      </c>
      <c r="G115" s="5">
        <v>1399.7526472721108</v>
      </c>
      <c r="H115" s="10">
        <v>170.87100121320577</v>
      </c>
      <c r="I115" s="31">
        <v>2.8754924718572497</v>
      </c>
    </row>
    <row r="116" spans="1:9">
      <c r="A116" s="1" t="s">
        <v>183</v>
      </c>
      <c r="B116" s="17">
        <v>114</v>
      </c>
      <c r="C116" s="2">
        <v>114</v>
      </c>
      <c r="D116" s="5">
        <v>18728.791305683306</v>
      </c>
      <c r="E116" s="5">
        <v>30885.877845814146</v>
      </c>
      <c r="F116" s="5">
        <v>2005.9059601598094</v>
      </c>
      <c r="G116" s="5">
        <v>2004.5340207388324</v>
      </c>
      <c r="H116" s="10">
        <v>386.08225537213616</v>
      </c>
      <c r="I116" s="31">
        <v>2.110683999443971</v>
      </c>
    </row>
    <row r="117" spans="1:9">
      <c r="A117" s="1" t="s">
        <v>184</v>
      </c>
      <c r="B117" s="17">
        <v>115</v>
      </c>
      <c r="C117" s="2">
        <v>115</v>
      </c>
      <c r="D117" s="5">
        <v>24843.853401971588</v>
      </c>
      <c r="E117" s="5">
        <v>15729.168069628313</v>
      </c>
      <c r="F117" s="5">
        <v>1788.1428015433742</v>
      </c>
      <c r="G117" s="5">
        <v>341.54642998594113</v>
      </c>
      <c r="H117" s="10">
        <v>342.14197174119067</v>
      </c>
      <c r="I117" s="31">
        <v>2.0640573276608833</v>
      </c>
    </row>
    <row r="118" spans="1:9">
      <c r="A118" s="1" t="s">
        <v>185</v>
      </c>
      <c r="B118" s="17">
        <v>116</v>
      </c>
      <c r="C118" s="2">
        <v>116</v>
      </c>
      <c r="D118" s="5">
        <v>23523.952395637567</v>
      </c>
      <c r="E118" s="5">
        <v>20601.717162776877</v>
      </c>
      <c r="F118" s="5">
        <v>1606.4985197052849</v>
      </c>
      <c r="G118" s="5">
        <v>1551.186620089469</v>
      </c>
      <c r="H118" s="10">
        <v>325.28345190043797</v>
      </c>
      <c r="I118" s="31">
        <v>1.3755756645599817</v>
      </c>
    </row>
    <row r="119" spans="1:9">
      <c r="A119" s="1" t="s">
        <v>186</v>
      </c>
      <c r="B119" s="17">
        <v>117</v>
      </c>
      <c r="C119" s="2">
        <v>117</v>
      </c>
      <c r="D119" s="5">
        <v>30290.951899411401</v>
      </c>
      <c r="E119" s="5">
        <v>17351.142145579899</v>
      </c>
      <c r="F119" s="5">
        <v>1366.0184571753164</v>
      </c>
      <c r="G119" s="5">
        <v>59.267304283752082</v>
      </c>
      <c r="H119" s="10">
        <v>487.80416261765527</v>
      </c>
      <c r="I119" s="31">
        <v>2.5694519242728333</v>
      </c>
    </row>
    <row r="120" spans="1:9">
      <c r="A120" s="1" t="s">
        <v>187</v>
      </c>
      <c r="B120" s="17">
        <v>118</v>
      </c>
      <c r="C120" s="2">
        <v>118</v>
      </c>
      <c r="D120" s="5">
        <v>26042.185738316537</v>
      </c>
      <c r="E120" s="5">
        <v>13846.078771286384</v>
      </c>
      <c r="F120" s="5">
        <v>2568.4909609671122</v>
      </c>
      <c r="G120" s="5">
        <v>1342.621099741267</v>
      </c>
      <c r="H120" s="10">
        <v>434.18225387963207</v>
      </c>
      <c r="I120" s="31">
        <v>2.5218872352610546</v>
      </c>
    </row>
    <row r="121" spans="1:9">
      <c r="A121" s="1" t="s">
        <v>188</v>
      </c>
      <c r="B121" s="17">
        <v>119</v>
      </c>
      <c r="C121" s="2">
        <v>119</v>
      </c>
      <c r="D121" s="5">
        <v>34366.652818820374</v>
      </c>
      <c r="E121" s="5">
        <v>11409.186151020604</v>
      </c>
      <c r="F121" s="5">
        <v>1807.6906848554174</v>
      </c>
      <c r="G121" s="5">
        <v>383.75172842545339</v>
      </c>
      <c r="H121" s="10">
        <v>521.814265339023</v>
      </c>
      <c r="I121" s="31">
        <v>2.477452477241421</v>
      </c>
    </row>
    <row r="122" spans="1:9">
      <c r="A122" s="1" t="s">
        <v>189</v>
      </c>
      <c r="B122" s="17">
        <v>120</v>
      </c>
      <c r="C122" s="2">
        <v>120</v>
      </c>
      <c r="D122" s="5">
        <v>30725.245319243957</v>
      </c>
      <c r="E122" s="5">
        <v>12809.703958591226</v>
      </c>
      <c r="F122" s="5">
        <v>1106.4486692893227</v>
      </c>
      <c r="G122" s="5">
        <v>2155.7694686043069</v>
      </c>
      <c r="H122" s="10">
        <v>211.94638821147851</v>
      </c>
      <c r="I122" s="31">
        <v>2.8728457132723619</v>
      </c>
    </row>
    <row r="123" spans="1:9">
      <c r="A123" s="1" t="s">
        <v>190</v>
      </c>
      <c r="B123" s="17">
        <v>121</v>
      </c>
      <c r="C123" s="2">
        <v>121</v>
      </c>
      <c r="D123" s="5">
        <v>25522.070993644182</v>
      </c>
      <c r="E123" s="5">
        <v>22436.187762168003</v>
      </c>
      <c r="F123" s="5">
        <v>1764.7216076701554</v>
      </c>
      <c r="G123" s="5">
        <v>1136.8152606127512</v>
      </c>
      <c r="H123" s="10">
        <v>359.84996356150691</v>
      </c>
      <c r="I123" s="31">
        <v>1.9950176561809698</v>
      </c>
    </row>
    <row r="124" spans="1:9">
      <c r="A124" s="1" t="s">
        <v>191</v>
      </c>
      <c r="B124" s="17">
        <v>122</v>
      </c>
      <c r="C124" s="2">
        <v>122</v>
      </c>
      <c r="D124" s="5">
        <v>19197.843809846607</v>
      </c>
      <c r="E124" s="5">
        <v>18660.417405339387</v>
      </c>
      <c r="F124" s="5">
        <v>2632.1260315134095</v>
      </c>
      <c r="G124" s="5">
        <v>2224.5463791795592</v>
      </c>
      <c r="H124" s="10">
        <v>347.43710047918898</v>
      </c>
      <c r="I124" s="31">
        <v>1.7603444524587744</v>
      </c>
    </row>
    <row r="125" spans="1:9">
      <c r="A125" s="1" t="s">
        <v>192</v>
      </c>
      <c r="B125" s="17">
        <v>123</v>
      </c>
      <c r="C125" s="2">
        <v>123</v>
      </c>
      <c r="D125" s="5">
        <v>29266.673065570874</v>
      </c>
      <c r="E125" s="5">
        <v>5531.9559487559764</v>
      </c>
      <c r="F125" s="5">
        <v>1723.5931203876064</v>
      </c>
      <c r="G125" s="5">
        <v>517.40634742502493</v>
      </c>
      <c r="H125" s="10">
        <v>281.86890145175016</v>
      </c>
      <c r="I125" s="31">
        <v>1.9319604501373746</v>
      </c>
    </row>
    <row r="126" spans="1:9">
      <c r="A126" s="1" t="s">
        <v>193</v>
      </c>
      <c r="B126" s="17">
        <v>124</v>
      </c>
      <c r="C126" s="2">
        <v>124</v>
      </c>
      <c r="D126" s="5">
        <v>20340.663584671664</v>
      </c>
      <c r="E126" s="5">
        <v>22003.155110128828</v>
      </c>
      <c r="F126" s="5">
        <v>2063.1552410312834</v>
      </c>
      <c r="G126" s="5">
        <v>767.34618870516329</v>
      </c>
      <c r="H126" s="10">
        <v>309.81766622575992</v>
      </c>
      <c r="I126" s="31">
        <v>2.2412944804358617</v>
      </c>
    </row>
    <row r="127" spans="1:9">
      <c r="A127" s="1" t="s">
        <v>194</v>
      </c>
      <c r="B127" s="17">
        <v>125</v>
      </c>
      <c r="C127" s="2">
        <v>125</v>
      </c>
      <c r="D127" s="5">
        <v>17054.463460825762</v>
      </c>
      <c r="E127" s="5">
        <v>19744.918316900395</v>
      </c>
      <c r="F127" s="5">
        <v>1985.4468768434274</v>
      </c>
      <c r="G127" s="5">
        <v>1022.065379910531</v>
      </c>
      <c r="H127" s="10">
        <v>493.44055915721287</v>
      </c>
      <c r="I127" s="31">
        <v>1.7241813494996663</v>
      </c>
    </row>
    <row r="128" spans="1:9">
      <c r="A128" s="1" t="s">
        <v>195</v>
      </c>
      <c r="B128" s="17">
        <v>126</v>
      </c>
      <c r="C128" s="2">
        <v>126</v>
      </c>
      <c r="D128" s="5">
        <v>20833.018901256626</v>
      </c>
      <c r="E128" s="5">
        <v>7787.0605489914033</v>
      </c>
      <c r="F128" s="5">
        <v>1441.4496740036086</v>
      </c>
      <c r="G128" s="5">
        <v>1851.9365564852012</v>
      </c>
      <c r="H128" s="10">
        <v>265.04694601830738</v>
      </c>
      <c r="I128" s="31">
        <v>3.0267810215349513</v>
      </c>
    </row>
    <row r="129" spans="1:9">
      <c r="A129" s="1" t="s">
        <v>196</v>
      </c>
      <c r="B129" s="17">
        <v>127</v>
      </c>
      <c r="C129" s="2">
        <v>127</v>
      </c>
      <c r="D129" s="5">
        <v>27651.023993645456</v>
      </c>
      <c r="E129" s="5">
        <v>24993.990467436844</v>
      </c>
      <c r="F129" s="5">
        <v>2009.8867047826318</v>
      </c>
      <c r="G129" s="5">
        <v>730.09971166441005</v>
      </c>
      <c r="H129" s="10">
        <v>404.9808500282295</v>
      </c>
      <c r="I129" s="31">
        <v>2.6615005437173735</v>
      </c>
    </row>
    <row r="130" spans="1:9">
      <c r="A130" s="1" t="s">
        <v>197</v>
      </c>
      <c r="B130" s="17">
        <v>128</v>
      </c>
      <c r="C130" s="2">
        <v>128</v>
      </c>
      <c r="D130" s="5">
        <v>20893.132855504835</v>
      </c>
      <c r="E130" s="5">
        <v>15096.297786898785</v>
      </c>
      <c r="F130" s="5">
        <v>1727.603992022425</v>
      </c>
      <c r="G130" s="5">
        <v>1280.939458653778</v>
      </c>
      <c r="H130" s="10">
        <v>489.0728243004985</v>
      </c>
      <c r="I130" s="31">
        <v>1.3239339411205933</v>
      </c>
    </row>
    <row r="131" spans="1:9">
      <c r="A131" s="1" t="s">
        <v>198</v>
      </c>
      <c r="B131" s="17">
        <v>129</v>
      </c>
      <c r="C131" s="2">
        <v>129</v>
      </c>
      <c r="D131" s="5">
        <v>23187.200948059486</v>
      </c>
      <c r="E131" s="5">
        <v>16124.056745277867</v>
      </c>
      <c r="F131" s="5">
        <v>1672.2697659323715</v>
      </c>
      <c r="G131" s="5">
        <v>898.80412603899799</v>
      </c>
      <c r="H131" s="10">
        <v>506.31259998376368</v>
      </c>
      <c r="I131" s="31">
        <v>1.613311454447647</v>
      </c>
    </row>
    <row r="132" spans="1:9">
      <c r="A132" s="1" t="s">
        <v>199</v>
      </c>
      <c r="B132" s="17">
        <v>130</v>
      </c>
      <c r="C132" s="2">
        <v>130</v>
      </c>
      <c r="D132" s="5">
        <v>23021.330496918697</v>
      </c>
      <c r="E132" s="5">
        <v>18133.195899320581</v>
      </c>
      <c r="F132" s="5">
        <v>1770.0245302156802</v>
      </c>
      <c r="G132" s="5">
        <v>1554.875619350172</v>
      </c>
      <c r="H132" s="10">
        <v>290.51412418234281</v>
      </c>
      <c r="I132" s="31">
        <v>2.1813019984887418</v>
      </c>
    </row>
    <row r="133" spans="1:9">
      <c r="A133" s="1" t="s">
        <v>200</v>
      </c>
      <c r="B133" s="17">
        <v>131</v>
      </c>
      <c r="C133" s="2">
        <v>131</v>
      </c>
      <c r="D133" s="5">
        <v>18012.018952778224</v>
      </c>
      <c r="E133" s="5">
        <v>-2476.3458700892352</v>
      </c>
      <c r="F133" s="5">
        <v>1592.5451656775224</v>
      </c>
      <c r="G133" s="5">
        <v>1771.2825679836203</v>
      </c>
      <c r="H133" s="10">
        <v>290.3240440424695</v>
      </c>
      <c r="I133" s="31">
        <v>2.8598428168965242</v>
      </c>
    </row>
    <row r="134" spans="1:9">
      <c r="A134" s="1" t="s">
        <v>201</v>
      </c>
      <c r="B134" s="17">
        <v>132</v>
      </c>
      <c r="C134" s="2">
        <v>132</v>
      </c>
      <c r="D134" s="5">
        <v>22662.031595506367</v>
      </c>
      <c r="E134" s="5">
        <v>22463.829132972758</v>
      </c>
      <c r="F134" s="5">
        <v>775.51765336547055</v>
      </c>
      <c r="G134" s="5">
        <v>2148.7676226233125</v>
      </c>
      <c r="H134" s="10">
        <v>405.69830669450926</v>
      </c>
      <c r="I134" s="31">
        <v>2.3195951345491252</v>
      </c>
    </row>
    <row r="135" spans="1:9">
      <c r="A135" s="1" t="s">
        <v>202</v>
      </c>
      <c r="B135" s="17">
        <v>133</v>
      </c>
      <c r="C135" s="2">
        <v>133</v>
      </c>
      <c r="D135" s="5">
        <v>29116.784743208744</v>
      </c>
      <c r="E135" s="5">
        <v>15636.419838538641</v>
      </c>
      <c r="F135" s="5">
        <v>1171.0796365340614</v>
      </c>
      <c r="G135" s="5">
        <v>1512.2216422268355</v>
      </c>
      <c r="H135" s="10">
        <v>319.03627911892431</v>
      </c>
      <c r="I135" s="31">
        <v>1.6634299020455714</v>
      </c>
    </row>
    <row r="136" spans="1:9">
      <c r="A136" s="1" t="s">
        <v>203</v>
      </c>
      <c r="B136" s="17">
        <v>134</v>
      </c>
      <c r="C136" s="2">
        <v>134</v>
      </c>
      <c r="D136" s="5">
        <v>21157.823093843806</v>
      </c>
      <c r="E136" s="5">
        <v>21336.574251774262</v>
      </c>
      <c r="F136" s="5">
        <v>2369.8334438639831</v>
      </c>
      <c r="G136" s="5">
        <v>1815.9660478658441</v>
      </c>
      <c r="H136" s="10">
        <v>345.81238089744761</v>
      </c>
      <c r="I136" s="31">
        <v>1.8745366922934394</v>
      </c>
    </row>
    <row r="137" spans="1:9">
      <c r="A137" s="1" t="s">
        <v>204</v>
      </c>
      <c r="B137" s="17">
        <v>135</v>
      </c>
      <c r="C137" s="2">
        <v>135</v>
      </c>
      <c r="D137" s="5">
        <v>35448.678816668551</v>
      </c>
      <c r="E137" s="5">
        <v>14473.353860598136</v>
      </c>
      <c r="F137" s="5">
        <v>2003.8976821714571</v>
      </c>
      <c r="G137" s="5">
        <v>1987.8972609939626</v>
      </c>
      <c r="H137" s="10">
        <v>427.78211314693795</v>
      </c>
      <c r="I137" s="31">
        <v>1.2742441486892844</v>
      </c>
    </row>
    <row r="138" spans="1:9">
      <c r="A138" s="1" t="s">
        <v>205</v>
      </c>
      <c r="B138" s="17">
        <v>136</v>
      </c>
      <c r="C138" s="2">
        <v>136</v>
      </c>
      <c r="D138" s="5">
        <v>20584.9717304603</v>
      </c>
      <c r="E138" s="5">
        <v>29610.248101291116</v>
      </c>
      <c r="F138" s="5">
        <v>2370.2790962678519</v>
      </c>
      <c r="G138" s="5">
        <v>1618.1368552560559</v>
      </c>
      <c r="H138" s="10">
        <v>193.47081772834531</v>
      </c>
      <c r="I138" s="31">
        <v>0.68796146696458749</v>
      </c>
    </row>
    <row r="139" spans="1:9">
      <c r="A139" s="1" t="s">
        <v>206</v>
      </c>
      <c r="B139" s="17">
        <v>137</v>
      </c>
      <c r="C139" s="2">
        <v>137</v>
      </c>
      <c r="D139" s="5">
        <v>15031.210305823013</v>
      </c>
      <c r="E139" s="5">
        <v>8311.4101035715157</v>
      </c>
      <c r="F139" s="5">
        <v>2298.9508374129327</v>
      </c>
      <c r="G139" s="5">
        <v>968.78570814890168</v>
      </c>
      <c r="H139" s="10">
        <v>325.52474959961432</v>
      </c>
      <c r="I139" s="31">
        <v>2.6815821296526323</v>
      </c>
    </row>
    <row r="140" spans="1:9">
      <c r="A140" s="1" t="s">
        <v>207</v>
      </c>
      <c r="B140" s="17">
        <v>138</v>
      </c>
      <c r="C140" s="2">
        <v>138</v>
      </c>
      <c r="D140" s="5">
        <v>24708.940063604903</v>
      </c>
      <c r="E140" s="5">
        <v>27530.95525967802</v>
      </c>
      <c r="F140" s="5">
        <v>2104.3695618763122</v>
      </c>
      <c r="G140" s="5">
        <v>1585.4871835253323</v>
      </c>
      <c r="H140" s="10">
        <v>500.57952003012065</v>
      </c>
      <c r="I140" s="31">
        <v>1.9495117947275489</v>
      </c>
    </row>
    <row r="141" spans="1:9">
      <c r="A141" s="1" t="s">
        <v>208</v>
      </c>
      <c r="B141" s="17">
        <v>139</v>
      </c>
      <c r="C141" s="2">
        <v>139</v>
      </c>
      <c r="D141" s="5">
        <v>22884.409163640474</v>
      </c>
      <c r="E141" s="5">
        <v>13985.893546342195</v>
      </c>
      <c r="F141" s="5">
        <v>2082.6582180424266</v>
      </c>
      <c r="G141" s="5">
        <v>801.35111591236978</v>
      </c>
      <c r="H141" s="10">
        <v>439.28031826512483</v>
      </c>
      <c r="I141" s="31">
        <v>1.7796873832316109</v>
      </c>
    </row>
    <row r="142" spans="1:9">
      <c r="A142" s="1" t="s">
        <v>209</v>
      </c>
      <c r="B142" s="17">
        <v>140</v>
      </c>
      <c r="C142" s="2">
        <v>140</v>
      </c>
      <c r="D142" s="5">
        <v>22634.391765861983</v>
      </c>
      <c r="E142" s="5">
        <v>15846.890195591013</v>
      </c>
      <c r="F142" s="5">
        <v>584.76932956263431</v>
      </c>
      <c r="G142" s="5">
        <v>2227.5408484228356</v>
      </c>
      <c r="H142" s="10">
        <v>442.56755434402908</v>
      </c>
      <c r="I142" s="31">
        <v>1.6880524534366472</v>
      </c>
    </row>
    <row r="143" spans="1:9">
      <c r="A143" s="1" t="s">
        <v>210</v>
      </c>
      <c r="B143" s="17">
        <v>141</v>
      </c>
      <c r="C143" s="2">
        <v>141</v>
      </c>
      <c r="D143" s="5">
        <v>28479.199148884025</v>
      </c>
      <c r="E143" s="5">
        <v>4485.4131267600769</v>
      </c>
      <c r="F143" s="5">
        <v>1233.6005760706869</v>
      </c>
      <c r="G143" s="5">
        <v>134.48797831272145</v>
      </c>
      <c r="H143" s="10">
        <v>640.17338874659504</v>
      </c>
      <c r="I143" s="31">
        <v>1.9357852087063279</v>
      </c>
    </row>
    <row r="144" spans="1:9">
      <c r="A144" s="1" t="s">
        <v>211</v>
      </c>
      <c r="B144" s="17">
        <v>142</v>
      </c>
      <c r="C144" s="2">
        <v>142</v>
      </c>
      <c r="D144" s="5">
        <v>29902.256959638951</v>
      </c>
      <c r="E144" s="5">
        <v>30968.26288643734</v>
      </c>
      <c r="F144" s="5">
        <v>2483.5896305566093</v>
      </c>
      <c r="G144" s="5">
        <v>952.46609662437891</v>
      </c>
      <c r="H144" s="10">
        <v>380.44873468483888</v>
      </c>
      <c r="I144" s="31">
        <v>1.9758297254060366</v>
      </c>
    </row>
    <row r="145" spans="1:9">
      <c r="A145" s="1" t="s">
        <v>212</v>
      </c>
      <c r="B145" s="17">
        <v>143</v>
      </c>
      <c r="C145" s="2">
        <v>143</v>
      </c>
      <c r="D145" s="5">
        <v>31989.035771843053</v>
      </c>
      <c r="E145" s="5">
        <v>1263.6970390684019</v>
      </c>
      <c r="F145" s="5">
        <v>2308.4289090737839</v>
      </c>
      <c r="G145" s="5">
        <v>358.42412403774119</v>
      </c>
      <c r="H145" s="10">
        <v>145.38821127975712</v>
      </c>
      <c r="I145" s="31">
        <v>1.955928794640748</v>
      </c>
    </row>
    <row r="146" spans="1:9">
      <c r="A146" s="1" t="s">
        <v>213</v>
      </c>
      <c r="B146" s="17">
        <v>144</v>
      </c>
      <c r="C146" s="2">
        <v>144</v>
      </c>
      <c r="D146" s="5">
        <v>28373.184571140744</v>
      </c>
      <c r="E146" s="5">
        <v>26743.166897401177</v>
      </c>
      <c r="F146" s="5">
        <v>2513.0549851572978</v>
      </c>
      <c r="G146" s="5">
        <v>873.72237298488812</v>
      </c>
      <c r="H146" s="10">
        <v>302.97697231585221</v>
      </c>
      <c r="I146" s="31">
        <v>1.8463427271575696</v>
      </c>
    </row>
    <row r="147" spans="1:9">
      <c r="A147" s="1" t="s">
        <v>214</v>
      </c>
      <c r="B147" s="17">
        <v>145</v>
      </c>
      <c r="C147" s="2">
        <v>145</v>
      </c>
      <c r="D147" s="5">
        <v>14312.587324378772</v>
      </c>
      <c r="E147" s="5">
        <v>21217.513740675087</v>
      </c>
      <c r="F147" s="5">
        <v>2289.3556683092283</v>
      </c>
      <c r="G147" s="5">
        <v>1139.9498651161809</v>
      </c>
      <c r="H147" s="10">
        <v>280.6474859131838</v>
      </c>
      <c r="I147" s="31">
        <v>1.5933752478207666</v>
      </c>
    </row>
    <row r="148" spans="1:9">
      <c r="A148" s="1" t="s">
        <v>215</v>
      </c>
      <c r="B148" s="17">
        <v>146</v>
      </c>
      <c r="C148" s="2">
        <v>146</v>
      </c>
      <c r="D148" s="5">
        <v>18730.075415281906</v>
      </c>
      <c r="E148" s="5">
        <v>15709.742896466933</v>
      </c>
      <c r="F148" s="5">
        <v>2832.6468758867959</v>
      </c>
      <c r="G148" s="5">
        <v>1414.3801869931156</v>
      </c>
      <c r="H148" s="10">
        <v>252.8270389281231</v>
      </c>
      <c r="I148" s="31">
        <v>2.6935267501807161</v>
      </c>
    </row>
    <row r="149" spans="1:9">
      <c r="A149" s="1" t="s">
        <v>216</v>
      </c>
      <c r="B149" s="17">
        <v>147</v>
      </c>
      <c r="C149" s="2">
        <v>147</v>
      </c>
      <c r="D149" s="5">
        <v>22334.898380608</v>
      </c>
      <c r="E149" s="5">
        <v>15394.78555535703</v>
      </c>
      <c r="F149" s="5">
        <v>2756.6631410271766</v>
      </c>
      <c r="G149" s="5">
        <v>1820.5265901041673</v>
      </c>
      <c r="H149" s="10">
        <v>316.39542507186593</v>
      </c>
      <c r="I149" s="31">
        <v>1.8998978988469375</v>
      </c>
    </row>
    <row r="150" spans="1:9">
      <c r="A150" s="1" t="s">
        <v>217</v>
      </c>
      <c r="B150" s="17">
        <v>148</v>
      </c>
      <c r="C150" s="2">
        <v>148</v>
      </c>
      <c r="D150" s="5">
        <v>24778.256803309749</v>
      </c>
      <c r="E150" s="5">
        <v>17901.134787601277</v>
      </c>
      <c r="F150" s="5">
        <v>1527.5549480255834</v>
      </c>
      <c r="G150" s="5">
        <v>651.96324081891703</v>
      </c>
      <c r="H150" s="10">
        <v>213.35637749111515</v>
      </c>
      <c r="I150" s="31">
        <v>2.5760196483219246</v>
      </c>
    </row>
    <row r="151" spans="1:9">
      <c r="A151" s="1" t="s">
        <v>218</v>
      </c>
      <c r="B151" s="17">
        <v>149</v>
      </c>
      <c r="C151" s="2">
        <v>149</v>
      </c>
      <c r="D151" s="5">
        <v>31083.083860720624</v>
      </c>
      <c r="E151" s="5">
        <v>11075.417063270206</v>
      </c>
      <c r="F151" s="5">
        <v>1639.7047397012032</v>
      </c>
      <c r="G151" s="5">
        <v>454.95027463668862</v>
      </c>
      <c r="H151" s="10">
        <v>203.28377342197814</v>
      </c>
      <c r="I151" s="31">
        <v>1.9033859332825145</v>
      </c>
    </row>
    <row r="152" spans="1:9">
      <c r="A152" s="1" t="s">
        <v>219</v>
      </c>
      <c r="B152" s="17">
        <v>150</v>
      </c>
      <c r="C152" s="2">
        <v>150</v>
      </c>
      <c r="D152" s="5">
        <v>29165.165460732485</v>
      </c>
      <c r="E152" s="5">
        <v>21659.850028281027</v>
      </c>
      <c r="F152" s="5">
        <v>2025.7829668670568</v>
      </c>
      <c r="G152" s="5">
        <v>1875.5530355910412</v>
      </c>
      <c r="H152" s="10">
        <v>231.09682535836941</v>
      </c>
      <c r="I152" s="31">
        <v>2.2466104458811955</v>
      </c>
    </row>
    <row r="153" spans="1:9">
      <c r="A153" s="1" t="s">
        <v>220</v>
      </c>
      <c r="B153" s="17">
        <v>151</v>
      </c>
      <c r="C153" s="2">
        <v>151</v>
      </c>
      <c r="D153" s="5">
        <v>20267.211256700735</v>
      </c>
      <c r="E153" s="5">
        <v>8720.9559553337476</v>
      </c>
      <c r="F153" s="5">
        <v>2041.6923029378197</v>
      </c>
      <c r="G153" s="5">
        <v>658.74996688300939</v>
      </c>
      <c r="H153" s="10">
        <v>217.74684527522072</v>
      </c>
      <c r="I153" s="31">
        <v>2.0786957412559772</v>
      </c>
    </row>
    <row r="154" spans="1:9">
      <c r="A154" s="1" t="s">
        <v>221</v>
      </c>
      <c r="B154" s="17">
        <v>152</v>
      </c>
      <c r="C154" s="2">
        <v>152</v>
      </c>
      <c r="D154" s="5">
        <v>29001.252647264071</v>
      </c>
      <c r="E154" s="5">
        <v>12418.560902455565</v>
      </c>
      <c r="F154" s="5">
        <v>1384.792701556664</v>
      </c>
      <c r="G154" s="5">
        <v>919.07456849451023</v>
      </c>
      <c r="H154" s="10">
        <v>508.87895576274491</v>
      </c>
      <c r="I154" s="31">
        <v>3.430909843654625</v>
      </c>
    </row>
    <row r="155" spans="1:9">
      <c r="A155" s="1" t="s">
        <v>222</v>
      </c>
      <c r="B155" s="17">
        <v>153</v>
      </c>
      <c r="C155" s="2">
        <v>153</v>
      </c>
      <c r="D155" s="5">
        <v>25146.771079488506</v>
      </c>
      <c r="E155" s="5">
        <v>24608.963087827586</v>
      </c>
      <c r="F155" s="5">
        <v>1789.0613911921648</v>
      </c>
      <c r="G155" s="5">
        <v>2372.3448254012728</v>
      </c>
      <c r="H155" s="10">
        <v>447.4554076238262</v>
      </c>
      <c r="I155" s="31">
        <v>1.5747399722107716</v>
      </c>
    </row>
    <row r="156" spans="1:9">
      <c r="A156" s="1" t="s">
        <v>223</v>
      </c>
      <c r="B156" s="17">
        <v>154</v>
      </c>
      <c r="C156" s="2">
        <v>154</v>
      </c>
      <c r="D156" s="5">
        <v>21749.917217241633</v>
      </c>
      <c r="E156" s="5">
        <v>6334.0947738850537</v>
      </c>
      <c r="F156" s="5">
        <v>1832.0907224014193</v>
      </c>
      <c r="G156" s="5">
        <v>1263.1896069960237</v>
      </c>
      <c r="H156" s="10">
        <v>306.27187733411733</v>
      </c>
      <c r="I156" s="31">
        <v>2.5105358905870148</v>
      </c>
    </row>
    <row r="157" spans="1:9">
      <c r="A157" s="1" t="s">
        <v>224</v>
      </c>
      <c r="B157" s="17">
        <v>155</v>
      </c>
      <c r="C157" s="2">
        <v>155</v>
      </c>
      <c r="D157" s="5">
        <v>35213.963724940048</v>
      </c>
      <c r="E157" s="5">
        <v>8937.8672908554199</v>
      </c>
      <c r="F157" s="5">
        <v>3439.9642367324232</v>
      </c>
      <c r="G157" s="5">
        <v>1084.5558718855716</v>
      </c>
      <c r="H157" s="10">
        <v>502.77283668733321</v>
      </c>
      <c r="I157" s="31">
        <v>2.9461254364190594</v>
      </c>
    </row>
    <row r="158" spans="1:9">
      <c r="A158" s="1" t="s">
        <v>225</v>
      </c>
      <c r="B158" s="17">
        <v>156</v>
      </c>
      <c r="C158" s="2">
        <v>156</v>
      </c>
      <c r="D158" s="5">
        <v>24612.317110965112</v>
      </c>
      <c r="E158" s="5">
        <v>19232.893058785347</v>
      </c>
      <c r="F158" s="5">
        <v>2115.3022566258114</v>
      </c>
      <c r="G158" s="5">
        <v>1540.4687312010753</v>
      </c>
      <c r="H158" s="10">
        <v>651.92658609853129</v>
      </c>
      <c r="I158" s="31">
        <v>2.5224014076678927</v>
      </c>
    </row>
    <row r="159" spans="1:9">
      <c r="A159" s="1" t="s">
        <v>226</v>
      </c>
      <c r="B159" s="17">
        <v>157</v>
      </c>
      <c r="C159" s="2">
        <v>157</v>
      </c>
      <c r="D159" s="5">
        <v>24418.127007451265</v>
      </c>
      <c r="E159" s="5">
        <v>25531.51939787477</v>
      </c>
      <c r="F159" s="5">
        <v>2335.8638167527643</v>
      </c>
      <c r="G159" s="5">
        <v>509.12115748262636</v>
      </c>
      <c r="H159" s="10">
        <v>200.58129396934123</v>
      </c>
      <c r="I159" s="31">
        <v>1.8917726920602931</v>
      </c>
    </row>
    <row r="160" spans="1:9">
      <c r="A160" s="1" t="s">
        <v>227</v>
      </c>
      <c r="B160" s="17">
        <v>158</v>
      </c>
      <c r="C160" s="2">
        <v>158</v>
      </c>
      <c r="D160" s="5">
        <v>26544.404779122124</v>
      </c>
      <c r="E160" s="5">
        <v>33416.764138893821</v>
      </c>
      <c r="F160" s="5">
        <v>2775.9694398090614</v>
      </c>
      <c r="G160" s="5">
        <v>1540.007145322237</v>
      </c>
      <c r="H160" s="10">
        <v>223.29313177728795</v>
      </c>
      <c r="I160" s="31">
        <v>3.3277418450501486</v>
      </c>
    </row>
    <row r="161" spans="1:9">
      <c r="A161" s="1" t="s">
        <v>228</v>
      </c>
      <c r="B161" s="17">
        <v>159</v>
      </c>
      <c r="C161" s="2">
        <v>159</v>
      </c>
      <c r="D161" s="5">
        <v>24563.892330857107</v>
      </c>
      <c r="E161" s="5">
        <v>32855.83205724998</v>
      </c>
      <c r="F161" s="5">
        <v>2124.4313096948572</v>
      </c>
      <c r="G161" s="5">
        <v>954.26634301468198</v>
      </c>
      <c r="H161" s="10">
        <v>355.40334818565202</v>
      </c>
      <c r="I161" s="31">
        <v>1.8774726060468296</v>
      </c>
    </row>
    <row r="162" spans="1:9">
      <c r="A162" s="1" t="s">
        <v>229</v>
      </c>
      <c r="B162" s="17">
        <v>160</v>
      </c>
      <c r="C162" s="2">
        <v>160</v>
      </c>
      <c r="D162" s="5">
        <v>27116.129399279405</v>
      </c>
      <c r="E162" s="5">
        <v>13908.592510369372</v>
      </c>
      <c r="F162" s="5">
        <v>1868.8507929445152</v>
      </c>
      <c r="G162" s="5">
        <v>1253.9959963759645</v>
      </c>
      <c r="H162" s="10">
        <v>516.75276536084016</v>
      </c>
      <c r="I162" s="31">
        <v>1.8330886238885782</v>
      </c>
    </row>
    <row r="163" spans="1:9">
      <c r="A163" s="1" t="s">
        <v>230</v>
      </c>
      <c r="B163" s="17">
        <v>161</v>
      </c>
      <c r="C163" s="2">
        <v>161</v>
      </c>
      <c r="D163" s="5">
        <v>22608.451493039272</v>
      </c>
      <c r="E163" s="5">
        <v>12655.733901848917</v>
      </c>
      <c r="F163" s="5">
        <v>2011.3953291191976</v>
      </c>
      <c r="G163" s="5">
        <v>1906.6925655051125</v>
      </c>
      <c r="H163" s="10">
        <v>331.79766810612523</v>
      </c>
      <c r="I163" s="31">
        <v>1.9697686910052639</v>
      </c>
    </row>
    <row r="164" spans="1:9">
      <c r="A164" s="1" t="s">
        <v>231</v>
      </c>
      <c r="B164" s="17">
        <v>162</v>
      </c>
      <c r="C164" s="2">
        <v>162</v>
      </c>
      <c r="D164" s="5">
        <v>27607.125070407026</v>
      </c>
      <c r="E164" s="5">
        <v>13114.790709319605</v>
      </c>
      <c r="F164" s="5">
        <v>2228.6127909145689</v>
      </c>
      <c r="G164" s="5">
        <v>1015.847799683728</v>
      </c>
      <c r="H164" s="10">
        <v>337.63564819459748</v>
      </c>
      <c r="I164" s="31">
        <v>2.1129951028609852</v>
      </c>
    </row>
    <row r="165" spans="1:9">
      <c r="A165" s="1" t="s">
        <v>232</v>
      </c>
      <c r="B165" s="17">
        <v>163</v>
      </c>
      <c r="C165" s="2">
        <v>163</v>
      </c>
      <c r="D165" s="5">
        <v>37647.376592907538</v>
      </c>
      <c r="E165" s="5">
        <v>7115.1168557497022</v>
      </c>
      <c r="F165" s="5">
        <v>1349.0018113051449</v>
      </c>
      <c r="G165" s="5">
        <v>1382.1398577328398</v>
      </c>
      <c r="H165" s="10">
        <v>513.65013160798003</v>
      </c>
      <c r="I165" s="31">
        <v>2.7875679213224416</v>
      </c>
    </row>
    <row r="166" spans="1:9">
      <c r="A166" s="1" t="s">
        <v>233</v>
      </c>
      <c r="B166" s="17">
        <v>164</v>
      </c>
      <c r="C166" s="2">
        <v>164</v>
      </c>
      <c r="D166" s="5">
        <v>25054.667689063397</v>
      </c>
      <c r="E166" s="5">
        <v>18294.369070512686</v>
      </c>
      <c r="F166" s="5">
        <v>2093.7176736159854</v>
      </c>
      <c r="G166" s="5">
        <v>906.94426369457119</v>
      </c>
      <c r="H166" s="10">
        <v>273.54878697192066</v>
      </c>
      <c r="I166" s="31">
        <v>2.2466879458801472</v>
      </c>
    </row>
    <row r="167" spans="1:9">
      <c r="A167" s="1" t="s">
        <v>234</v>
      </c>
      <c r="B167" s="17">
        <v>165</v>
      </c>
      <c r="C167" s="2">
        <v>165</v>
      </c>
      <c r="D167" s="5">
        <v>18428.485909947856</v>
      </c>
      <c r="E167" s="5">
        <v>11062.479340284253</v>
      </c>
      <c r="F167" s="5">
        <v>1893.6703349217098</v>
      </c>
      <c r="G167" s="5">
        <v>2023.6575667230898</v>
      </c>
      <c r="H167" s="10">
        <v>282.23002632844032</v>
      </c>
      <c r="I167" s="31">
        <v>2.3117168587936234</v>
      </c>
    </row>
    <row r="168" spans="1:9">
      <c r="A168" s="1" t="s">
        <v>235</v>
      </c>
      <c r="B168" s="17">
        <v>166</v>
      </c>
      <c r="C168" s="2">
        <v>166</v>
      </c>
      <c r="D168" s="5">
        <v>31334.391662752612</v>
      </c>
      <c r="E168" s="5">
        <v>5270.0785903851374</v>
      </c>
      <c r="F168" s="5">
        <v>547.3709074257315</v>
      </c>
      <c r="G168" s="5">
        <v>772.37507773399898</v>
      </c>
      <c r="H168" s="10">
        <v>130.86324013024455</v>
      </c>
      <c r="I168" s="31">
        <v>2.4273420468847675</v>
      </c>
    </row>
    <row r="169" spans="1:9">
      <c r="A169" s="1" t="s">
        <v>236</v>
      </c>
      <c r="B169" s="17">
        <v>167</v>
      </c>
      <c r="C169" s="2">
        <v>167</v>
      </c>
      <c r="D169" s="5">
        <v>35541.43685120275</v>
      </c>
      <c r="E169" s="5">
        <v>18375.899031743131</v>
      </c>
      <c r="F169" s="5">
        <v>1715.0666075584852</v>
      </c>
      <c r="G169" s="5">
        <v>534.43278153365441</v>
      </c>
      <c r="H169" s="10">
        <v>324.23445055214574</v>
      </c>
      <c r="I169" s="31">
        <v>1.2170181494633638</v>
      </c>
    </row>
    <row r="170" spans="1:9">
      <c r="A170" s="1" t="s">
        <v>237</v>
      </c>
      <c r="B170" s="17">
        <v>168</v>
      </c>
      <c r="C170" s="2">
        <v>168</v>
      </c>
      <c r="D170" s="5">
        <v>18987.539389801303</v>
      </c>
      <c r="E170" s="5">
        <v>10906.854890803797</v>
      </c>
      <c r="F170" s="5">
        <v>2146.6394650095863</v>
      </c>
      <c r="G170" s="5">
        <v>977.15448754472504</v>
      </c>
      <c r="H170" s="10">
        <v>133.3326386044489</v>
      </c>
      <c r="I170" s="31">
        <v>2.322873651746157</v>
      </c>
    </row>
    <row r="171" spans="1:9">
      <c r="A171" s="1" t="s">
        <v>238</v>
      </c>
      <c r="B171" s="17">
        <v>169</v>
      </c>
      <c r="C171" s="2">
        <v>169</v>
      </c>
      <c r="D171" s="5">
        <v>28187.089393821996</v>
      </c>
      <c r="E171" s="5">
        <v>20334.384026106643</v>
      </c>
      <c r="F171" s="5">
        <v>2469.5129263099188</v>
      </c>
      <c r="G171" s="5">
        <v>1179.2418252525056</v>
      </c>
      <c r="H171" s="10">
        <v>378.44234842454784</v>
      </c>
      <c r="I171" s="31">
        <v>1.2644460108907865</v>
      </c>
    </row>
    <row r="172" spans="1:9">
      <c r="A172" s="1" t="s">
        <v>239</v>
      </c>
      <c r="B172" s="17">
        <v>170</v>
      </c>
      <c r="C172" s="2">
        <v>170</v>
      </c>
      <c r="D172" s="5">
        <v>21972.049293834832</v>
      </c>
      <c r="E172" s="5">
        <v>21544.711729179027</v>
      </c>
      <c r="F172" s="5">
        <v>2313.3970238822185</v>
      </c>
      <c r="G172" s="5">
        <v>1475.7582016836056</v>
      </c>
      <c r="H172" s="10">
        <v>451.55692072844136</v>
      </c>
      <c r="I172" s="31">
        <v>1.9898048459066544</v>
      </c>
    </row>
    <row r="173" spans="1:9">
      <c r="A173" s="1" t="s">
        <v>240</v>
      </c>
      <c r="B173" s="17">
        <v>171</v>
      </c>
      <c r="C173" s="2">
        <v>171</v>
      </c>
      <c r="D173" s="5">
        <v>29597.029143775533</v>
      </c>
      <c r="E173" s="5">
        <v>14203.130183806761</v>
      </c>
      <c r="F173" s="5">
        <v>2302.1954597615077</v>
      </c>
      <c r="G173" s="5">
        <v>334.80272790522918</v>
      </c>
      <c r="H173" s="10">
        <v>427.72185719481672</v>
      </c>
      <c r="I173" s="31">
        <v>1.6727010398511979</v>
      </c>
    </row>
    <row r="174" spans="1:9">
      <c r="A174" s="1" t="s">
        <v>241</v>
      </c>
      <c r="B174" s="17">
        <v>172</v>
      </c>
      <c r="C174" s="2">
        <v>172</v>
      </c>
      <c r="D174" s="5">
        <v>18887.555091447528</v>
      </c>
      <c r="E174" s="5">
        <v>25642.754073662043</v>
      </c>
      <c r="F174" s="5">
        <v>1698.0300664917124</v>
      </c>
      <c r="G174" s="5">
        <v>1121.7562518012744</v>
      </c>
      <c r="H174" s="10">
        <v>400.92343332493942</v>
      </c>
      <c r="I174" s="31">
        <v>1.58732810997153</v>
      </c>
    </row>
    <row r="175" spans="1:9">
      <c r="A175" s="1" t="s">
        <v>242</v>
      </c>
      <c r="B175" s="17">
        <v>173</v>
      </c>
      <c r="C175" s="2">
        <v>173</v>
      </c>
      <c r="D175" s="5">
        <v>30593.963996751743</v>
      </c>
      <c r="E175" s="5">
        <v>29881.680042441811</v>
      </c>
      <c r="F175" s="5">
        <v>1639.3403733863054</v>
      </c>
      <c r="G175" s="5">
        <v>672.58770919481663</v>
      </c>
      <c r="H175" s="10">
        <v>130.15934105319207</v>
      </c>
      <c r="I175" s="31">
        <v>2.5880711654002866</v>
      </c>
    </row>
    <row r="176" spans="1:9">
      <c r="A176" s="1" t="s">
        <v>243</v>
      </c>
      <c r="B176" s="17">
        <v>174</v>
      </c>
      <c r="C176" s="2">
        <v>174</v>
      </c>
      <c r="D176" s="5">
        <v>14772.147488960261</v>
      </c>
      <c r="E176" s="5">
        <v>8724.7480465537683</v>
      </c>
      <c r="F176" s="5">
        <v>1935.7174118530495</v>
      </c>
      <c r="G176" s="5">
        <v>1792.2942522099436</v>
      </c>
      <c r="H176" s="10">
        <v>497.91100302322479</v>
      </c>
      <c r="I176" s="31">
        <v>2.0894543445587246</v>
      </c>
    </row>
    <row r="177" spans="1:9">
      <c r="A177" s="1" t="s">
        <v>244</v>
      </c>
      <c r="B177" s="17">
        <v>175</v>
      </c>
      <c r="C177" s="2">
        <v>175</v>
      </c>
      <c r="D177" s="5">
        <v>16743.583044866544</v>
      </c>
      <c r="E177" s="5">
        <v>23102.127310978001</v>
      </c>
      <c r="F177" s="5">
        <v>1615.7065851265472</v>
      </c>
      <c r="G177" s="5">
        <v>1497.1030144669601</v>
      </c>
      <c r="H177" s="10">
        <v>260.67291167568942</v>
      </c>
      <c r="I177" s="31">
        <v>1.6342289714060811</v>
      </c>
    </row>
    <row r="178" spans="1:9">
      <c r="A178" s="1" t="s">
        <v>245</v>
      </c>
      <c r="B178" s="17">
        <v>176</v>
      </c>
      <c r="C178" s="2">
        <v>176</v>
      </c>
      <c r="D178" s="5">
        <v>29874.799674986523</v>
      </c>
      <c r="E178" s="5">
        <v>16192.230738167209</v>
      </c>
      <c r="F178" s="5">
        <v>2937.2046605393662</v>
      </c>
      <c r="G178" s="5">
        <v>1570.4232576871834</v>
      </c>
      <c r="H178" s="10">
        <v>503.58629204096974</v>
      </c>
      <c r="I178" s="31">
        <v>2.6620564057788201</v>
      </c>
    </row>
    <row r="179" spans="1:9">
      <c r="A179" s="1" t="s">
        <v>246</v>
      </c>
      <c r="B179" s="17">
        <v>177</v>
      </c>
      <c r="C179" s="2">
        <v>177</v>
      </c>
      <c r="D179" s="5">
        <v>28413.571076947708</v>
      </c>
      <c r="E179" s="5">
        <v>23608.445843580565</v>
      </c>
      <c r="F179" s="5">
        <v>1876.0608121928201</v>
      </c>
      <c r="G179" s="5">
        <v>1464.7170182915249</v>
      </c>
      <c r="H179" s="10">
        <v>396.26414182716576</v>
      </c>
      <c r="I179" s="31">
        <v>2.0625105345783581</v>
      </c>
    </row>
    <row r="180" spans="1:9">
      <c r="A180" s="1" t="s">
        <v>247</v>
      </c>
      <c r="B180" s="17">
        <v>178</v>
      </c>
      <c r="C180" s="2">
        <v>178</v>
      </c>
      <c r="D180" s="5">
        <v>31854.078370892101</v>
      </c>
      <c r="E180" s="5">
        <v>24143.911430266424</v>
      </c>
      <c r="F180" s="5">
        <v>2334.3370025221629</v>
      </c>
      <c r="G180" s="5">
        <v>712.59632596859205</v>
      </c>
      <c r="H180" s="10">
        <v>154.24967071125752</v>
      </c>
      <c r="I180" s="31">
        <v>1.9154684503604571</v>
      </c>
    </row>
    <row r="181" spans="1:9">
      <c r="A181" s="1" t="s">
        <v>248</v>
      </c>
      <c r="B181" s="17">
        <v>179</v>
      </c>
      <c r="C181" s="2">
        <v>179</v>
      </c>
      <c r="D181" s="5">
        <v>22991.41829685718</v>
      </c>
      <c r="E181" s="5">
        <v>21179.815892664294</v>
      </c>
      <c r="F181" s="5">
        <v>1308.9999605844171</v>
      </c>
      <c r="G181" s="5">
        <v>1441.6438706329461</v>
      </c>
      <c r="H181" s="10">
        <v>391.21291274991268</v>
      </c>
      <c r="I181" s="31">
        <v>1.9757565012690961</v>
      </c>
    </row>
    <row r="182" spans="1:9">
      <c r="A182" s="1" t="s">
        <v>249</v>
      </c>
      <c r="B182" s="17">
        <v>180</v>
      </c>
      <c r="C182" s="2">
        <v>180</v>
      </c>
      <c r="D182" s="5">
        <v>25128.4095711595</v>
      </c>
      <c r="E182" s="5">
        <v>7376.064779997987</v>
      </c>
      <c r="F182" s="5">
        <v>2514.5476933365826</v>
      </c>
      <c r="G182" s="5">
        <v>2000.3619236076008</v>
      </c>
      <c r="H182" s="10">
        <v>407.66977189163913</v>
      </c>
      <c r="I182" s="31">
        <v>2.2411020666453609</v>
      </c>
    </row>
    <row r="183" spans="1:9">
      <c r="A183" s="1" t="s">
        <v>250</v>
      </c>
      <c r="B183" s="17">
        <v>181</v>
      </c>
      <c r="C183" s="2">
        <v>181</v>
      </c>
      <c r="D183" s="5">
        <v>20766.18225558045</v>
      </c>
      <c r="E183" s="5">
        <v>12701.025226640977</v>
      </c>
      <c r="F183" s="5">
        <v>2385.3789820540369</v>
      </c>
      <c r="G183" s="5">
        <v>833.77153127450924</v>
      </c>
      <c r="H183" s="10">
        <v>233.27316079271145</v>
      </c>
      <c r="I183" s="31">
        <v>1.5235044556624402</v>
      </c>
    </row>
    <row r="184" spans="1:9">
      <c r="A184" s="1" t="s">
        <v>251</v>
      </c>
      <c r="B184" s="17">
        <v>182</v>
      </c>
      <c r="C184" s="2">
        <v>182</v>
      </c>
      <c r="D184" s="5">
        <v>22734.036152851419</v>
      </c>
      <c r="E184" s="5">
        <v>23979.085582972686</v>
      </c>
      <c r="F184" s="5">
        <v>1879.6806011058763</v>
      </c>
      <c r="G184" s="5">
        <v>1239.4809336400829</v>
      </c>
      <c r="H184" s="10">
        <v>441.17783297556048</v>
      </c>
      <c r="I184" s="31">
        <v>3.1179081927160937</v>
      </c>
    </row>
    <row r="185" spans="1:9">
      <c r="A185" s="1" t="s">
        <v>252</v>
      </c>
      <c r="B185" s="17">
        <v>183</v>
      </c>
      <c r="C185" s="2">
        <v>183</v>
      </c>
      <c r="D185" s="5">
        <v>28467.60439456725</v>
      </c>
      <c r="E185" s="5">
        <v>16692.842545257292</v>
      </c>
      <c r="F185" s="5">
        <v>760.31090195182719</v>
      </c>
      <c r="G185" s="5">
        <v>1576.278821825257</v>
      </c>
      <c r="H185" s="10">
        <v>396.68689210943444</v>
      </c>
      <c r="I185" s="31">
        <v>2.3992897196780163</v>
      </c>
    </row>
    <row r="186" spans="1:9">
      <c r="A186" s="1" t="s">
        <v>253</v>
      </c>
      <c r="B186" s="17">
        <v>184</v>
      </c>
      <c r="C186" s="2">
        <v>184</v>
      </c>
      <c r="D186" s="5">
        <v>24334.131132531045</v>
      </c>
      <c r="E186" s="5">
        <v>8269.4554472794243</v>
      </c>
      <c r="F186" s="5">
        <v>2557.4008099473685</v>
      </c>
      <c r="G186" s="5">
        <v>2322.7566114136825</v>
      </c>
      <c r="H186" s="10">
        <v>504.24253413770816</v>
      </c>
      <c r="I186" s="31">
        <v>0.95148284271035521</v>
      </c>
    </row>
    <row r="187" spans="1:9">
      <c r="A187" s="1" t="s">
        <v>254</v>
      </c>
      <c r="B187" s="17">
        <v>185</v>
      </c>
      <c r="C187" s="2">
        <v>185</v>
      </c>
      <c r="D187" s="5">
        <v>26299.624534216353</v>
      </c>
      <c r="E187" s="5">
        <v>22143.192949374054</v>
      </c>
      <c r="F187" s="5">
        <v>1535.7199367107498</v>
      </c>
      <c r="G187" s="5">
        <v>1260.6229190732154</v>
      </c>
      <c r="H187" s="10">
        <v>110.06940628608599</v>
      </c>
      <c r="I187" s="31">
        <v>1.4448478360367503</v>
      </c>
    </row>
    <row r="188" spans="1:9">
      <c r="A188" s="1" t="s">
        <v>255</v>
      </c>
      <c r="B188" s="17">
        <v>186</v>
      </c>
      <c r="C188" s="2">
        <v>186</v>
      </c>
      <c r="D188" s="5">
        <v>29724.533673330687</v>
      </c>
      <c r="E188" s="5">
        <v>22313.911409004788</v>
      </c>
      <c r="F188" s="5">
        <v>954.06055827051409</v>
      </c>
      <c r="G188" s="5">
        <v>1590.5597111658824</v>
      </c>
      <c r="H188" s="10">
        <v>386.77862245517349</v>
      </c>
      <c r="I188" s="31">
        <v>1.7664359523763764</v>
      </c>
    </row>
    <row r="189" spans="1:9">
      <c r="A189" s="1" t="s">
        <v>256</v>
      </c>
      <c r="B189" s="17">
        <v>187</v>
      </c>
      <c r="C189" s="2">
        <v>187</v>
      </c>
      <c r="D189" s="5">
        <v>16817.34381092733</v>
      </c>
      <c r="E189" s="5">
        <v>19862.770563640253</v>
      </c>
      <c r="F189" s="5">
        <v>2258.71820241163</v>
      </c>
      <c r="G189" s="5">
        <v>720.38612547378193</v>
      </c>
      <c r="H189" s="10">
        <v>396.07871782904726</v>
      </c>
      <c r="I189" s="31">
        <v>1.7473212457383838</v>
      </c>
    </row>
    <row r="190" spans="1:9">
      <c r="A190" s="1" t="s">
        <v>257</v>
      </c>
      <c r="B190" s="17">
        <v>188</v>
      </c>
      <c r="C190" s="2">
        <v>188</v>
      </c>
      <c r="D190" s="5">
        <v>28923.966874462028</v>
      </c>
      <c r="E190" s="5">
        <v>20267.0093465627</v>
      </c>
      <c r="F190" s="5">
        <v>1584.1721300793254</v>
      </c>
      <c r="G190" s="5">
        <v>1633.9014573949714</v>
      </c>
      <c r="H190" s="10">
        <v>601.18888328692879</v>
      </c>
      <c r="I190" s="31">
        <v>1.4428413877880288</v>
      </c>
    </row>
    <row r="191" spans="1:9">
      <c r="A191" s="1" t="s">
        <v>258</v>
      </c>
      <c r="B191" s="17">
        <v>189</v>
      </c>
      <c r="C191" s="2">
        <v>189</v>
      </c>
      <c r="D191" s="5">
        <v>20876.200233837015</v>
      </c>
      <c r="E191" s="5">
        <v>17322.720050112192</v>
      </c>
      <c r="F191" s="5">
        <v>2794.6004387748799</v>
      </c>
      <c r="G191" s="5">
        <v>2013.4203171918887</v>
      </c>
      <c r="H191" s="10">
        <v>311.41047754194619</v>
      </c>
      <c r="I191" s="31">
        <v>2.4913052011919703</v>
      </c>
    </row>
    <row r="192" spans="1:9">
      <c r="A192" s="1" t="s">
        <v>259</v>
      </c>
      <c r="B192" s="17">
        <v>190</v>
      </c>
      <c r="C192" s="2">
        <v>190</v>
      </c>
      <c r="D192" s="5">
        <v>22986.716189650539</v>
      </c>
      <c r="E192" s="5">
        <v>16124.056745277867</v>
      </c>
      <c r="F192" s="5">
        <v>1467.4043790554535</v>
      </c>
      <c r="G192" s="5">
        <v>732.06283456322467</v>
      </c>
      <c r="H192" s="10">
        <v>206.54718101072535</v>
      </c>
      <c r="I192" s="31">
        <v>1.8801669335965912</v>
      </c>
    </row>
    <row r="193" spans="1:9">
      <c r="A193" s="1" t="s">
        <v>260</v>
      </c>
      <c r="B193" s="17">
        <v>191</v>
      </c>
      <c r="C193" s="2">
        <v>191</v>
      </c>
      <c r="D193" s="5">
        <v>21461.51501391282</v>
      </c>
      <c r="E193" s="5">
        <v>20862.060954845503</v>
      </c>
      <c r="F193" s="5">
        <v>2523.9200362383526</v>
      </c>
      <c r="G193" s="5">
        <v>1899.0121698433757</v>
      </c>
      <c r="H193" s="10">
        <v>327.59125486668086</v>
      </c>
      <c r="I193" s="31">
        <v>2.3662405132285116</v>
      </c>
    </row>
    <row r="194" spans="1:9">
      <c r="A194" s="1" t="s">
        <v>261</v>
      </c>
      <c r="B194" s="17">
        <v>192</v>
      </c>
      <c r="C194" s="2">
        <v>192</v>
      </c>
      <c r="D194" s="5">
        <v>13919.196572054578</v>
      </c>
      <c r="E194" s="5">
        <v>15913.233203258924</v>
      </c>
      <c r="F194" s="5">
        <v>2402.8492384067176</v>
      </c>
      <c r="G194" s="5">
        <v>1660.4552453090253</v>
      </c>
      <c r="H194" s="10">
        <v>579.48030708180045</v>
      </c>
      <c r="I194" s="31">
        <v>2.6534833024465101</v>
      </c>
    </row>
    <row r="195" spans="1:9">
      <c r="A195" s="1" t="s">
        <v>262</v>
      </c>
      <c r="B195" s="17">
        <v>193</v>
      </c>
      <c r="C195" s="2">
        <v>193</v>
      </c>
      <c r="D195" s="5">
        <v>19762.411407388161</v>
      </c>
      <c r="E195" s="5">
        <v>20566.333605731241</v>
      </c>
      <c r="F195" s="5">
        <v>2566.1978974502672</v>
      </c>
      <c r="G195" s="5">
        <v>1090.3542755885826</v>
      </c>
      <c r="H195" s="10">
        <v>311.59973600974513</v>
      </c>
      <c r="I195" s="31">
        <v>1.5129890420115757</v>
      </c>
    </row>
    <row r="196" spans="1:9">
      <c r="A196" s="1" t="s">
        <v>263</v>
      </c>
      <c r="B196" s="17">
        <v>194</v>
      </c>
      <c r="C196" s="2">
        <v>194</v>
      </c>
      <c r="D196" s="5">
        <v>33564.663427945423</v>
      </c>
      <c r="E196" s="5">
        <v>16711.644997556559</v>
      </c>
      <c r="F196" s="5">
        <v>1500.6498210103857</v>
      </c>
      <c r="G196" s="5">
        <v>737.84034090287946</v>
      </c>
      <c r="H196" s="10">
        <v>273.94428513038906</v>
      </c>
      <c r="I196" s="31">
        <v>2.398095685211409</v>
      </c>
    </row>
    <row r="197" spans="1:9">
      <c r="A197" s="1" t="s">
        <v>264</v>
      </c>
      <c r="B197" s="17">
        <v>195</v>
      </c>
      <c r="C197" s="2">
        <v>195</v>
      </c>
      <c r="D197" s="5">
        <v>27295.917332393263</v>
      </c>
      <c r="E197" s="5">
        <v>31013.247497968958</v>
      </c>
      <c r="F197" s="5">
        <v>2057.709641504418</v>
      </c>
      <c r="G197" s="5">
        <v>1058.4108118136317</v>
      </c>
      <c r="H197" s="10">
        <v>254.81890898176675</v>
      </c>
      <c r="I197" s="31">
        <v>1.6415749023411976</v>
      </c>
    </row>
    <row r="198" spans="1:9">
      <c r="A198" s="1" t="s">
        <v>265</v>
      </c>
      <c r="B198" s="17">
        <v>196</v>
      </c>
      <c r="C198" s="2">
        <v>196</v>
      </c>
      <c r="D198" s="5">
        <v>20762.266980235698</v>
      </c>
      <c r="E198" s="5">
        <v>15234.987946666306</v>
      </c>
      <c r="F198" s="5">
        <v>1989.946601880449</v>
      </c>
      <c r="G198" s="5">
        <v>1166.9806046174233</v>
      </c>
      <c r="H198" s="10">
        <v>389.06766390905136</v>
      </c>
      <c r="I198" s="31">
        <v>2.0919744307315327</v>
      </c>
    </row>
    <row r="199" spans="1:9">
      <c r="A199" s="1" t="s">
        <v>266</v>
      </c>
      <c r="B199" s="17">
        <v>197</v>
      </c>
      <c r="C199" s="2">
        <v>197</v>
      </c>
      <c r="D199" s="5">
        <v>19132.278684459241</v>
      </c>
      <c r="E199" s="5">
        <v>16107.168927271059</v>
      </c>
      <c r="F199" s="5">
        <v>2088.4590889371721</v>
      </c>
      <c r="G199" s="5">
        <v>1775.997996562113</v>
      </c>
      <c r="H199" s="10">
        <v>503.72652407499731</v>
      </c>
      <c r="I199" s="31">
        <v>1.7915144175543887</v>
      </c>
    </row>
    <row r="200" spans="1:9">
      <c r="A200" s="1" t="s">
        <v>267</v>
      </c>
      <c r="B200" s="17">
        <v>198</v>
      </c>
      <c r="C200" s="2">
        <v>198</v>
      </c>
      <c r="D200" s="5">
        <v>24270.271858620254</v>
      </c>
      <c r="E200" s="5">
        <v>17336.605795903153</v>
      </c>
      <c r="F200" s="5">
        <v>2757.1042459575365</v>
      </c>
      <c r="G200" s="5">
        <v>1607.3710253576098</v>
      </c>
      <c r="H200" s="10">
        <v>252.08589071703204</v>
      </c>
      <c r="I200" s="31">
        <v>1.9475791050985194</v>
      </c>
    </row>
    <row r="201" spans="1:9">
      <c r="A201" s="1" t="s">
        <v>268</v>
      </c>
      <c r="B201" s="17">
        <v>199</v>
      </c>
      <c r="C201" s="2">
        <v>199</v>
      </c>
      <c r="D201" s="5">
        <v>23982.373227683045</v>
      </c>
      <c r="E201" s="5">
        <v>9164.3053261332716</v>
      </c>
      <c r="F201" s="5">
        <v>2441.0275522503907</v>
      </c>
      <c r="G201" s="5">
        <v>546.01729637299627</v>
      </c>
      <c r="H201" s="10">
        <v>400.73444874783195</v>
      </c>
      <c r="I201" s="31">
        <v>1.7160272806444468</v>
      </c>
    </row>
    <row r="202" spans="1:9">
      <c r="A202" s="1" t="s">
        <v>269</v>
      </c>
      <c r="B202" s="17">
        <v>200</v>
      </c>
      <c r="C202" s="2">
        <v>200</v>
      </c>
      <c r="D202" s="5">
        <v>25864.191781847781</v>
      </c>
      <c r="E202" s="5">
        <v>8667.569259334241</v>
      </c>
      <c r="F202" s="5">
        <v>1701.0660734930682</v>
      </c>
      <c r="G202" s="5">
        <v>2083.5899755719984</v>
      </c>
      <c r="H202" s="10">
        <v>352.7850901206391</v>
      </c>
      <c r="I202" s="31">
        <v>2.1257986371705542</v>
      </c>
    </row>
    <row r="203" spans="1:9">
      <c r="A203" s="1" t="s">
        <v>270</v>
      </c>
      <c r="B203" s="17">
        <v>201</v>
      </c>
      <c r="C203" s="2">
        <v>201</v>
      </c>
      <c r="D203" s="5">
        <v>23231.880408504909</v>
      </c>
      <c r="E203" s="5">
        <v>29224.495763066268</v>
      </c>
      <c r="F203" s="5">
        <v>1929.0235308480007</v>
      </c>
      <c r="G203" s="5">
        <v>1413.1472425550999</v>
      </c>
      <c r="H203" s="10">
        <v>279.78473023508445</v>
      </c>
      <c r="I203" s="31">
        <v>2.1086625856782106</v>
      </c>
    </row>
    <row r="204" spans="1:9">
      <c r="A204" s="1" t="s">
        <v>271</v>
      </c>
      <c r="B204" s="17">
        <v>202</v>
      </c>
      <c r="C204" s="2">
        <v>202</v>
      </c>
      <c r="D204" s="5">
        <v>25629.457806154594</v>
      </c>
      <c r="E204" s="5">
        <v>21095.014323322459</v>
      </c>
      <c r="F204" s="5">
        <v>1855.3561653069594</v>
      </c>
      <c r="G204" s="5">
        <v>1367.0101666629523</v>
      </c>
      <c r="H204" s="10">
        <v>353.18387496740502</v>
      </c>
      <c r="I204" s="31">
        <v>1.5028573869762099</v>
      </c>
    </row>
    <row r="205" spans="1:9">
      <c r="A205" s="1" t="s">
        <v>272</v>
      </c>
      <c r="B205" s="17">
        <v>203</v>
      </c>
      <c r="C205" s="2">
        <v>203</v>
      </c>
      <c r="D205" s="5">
        <v>15186.864532069056</v>
      </c>
      <c r="E205" s="5">
        <v>30174.451791046347</v>
      </c>
      <c r="F205" s="5">
        <v>2552.5406976347695</v>
      </c>
      <c r="G205" s="5">
        <v>1520.5504707809484</v>
      </c>
      <c r="H205" s="10">
        <v>278.12330930068742</v>
      </c>
      <c r="I205" s="31">
        <v>1.4512242152608437</v>
      </c>
    </row>
    <row r="206" spans="1:9">
      <c r="A206" s="1" t="s">
        <v>273</v>
      </c>
      <c r="B206" s="17">
        <v>204</v>
      </c>
      <c r="C206" s="2">
        <v>204</v>
      </c>
      <c r="D206" s="5">
        <v>17732.687347153249</v>
      </c>
      <c r="E206" s="5">
        <v>18530.501103688774</v>
      </c>
      <c r="F206" s="5">
        <v>1403.2929606591026</v>
      </c>
      <c r="G206" s="5">
        <v>833.06593794707055</v>
      </c>
      <c r="H206" s="10">
        <v>518.26573754046581</v>
      </c>
      <c r="I206" s="31">
        <v>2.0445524486143754</v>
      </c>
    </row>
    <row r="207" spans="1:9">
      <c r="A207" s="1" t="s">
        <v>274</v>
      </c>
      <c r="B207" s="17">
        <v>205</v>
      </c>
      <c r="C207" s="2">
        <v>205</v>
      </c>
      <c r="D207" s="5">
        <v>28336.020928640071</v>
      </c>
      <c r="E207" s="5">
        <v>26159.854042086234</v>
      </c>
      <c r="F207" s="5">
        <v>2148.2714395650801</v>
      </c>
      <c r="G207" s="5">
        <v>1919.1523110920787</v>
      </c>
      <c r="H207" s="10">
        <v>518.62782103457607</v>
      </c>
      <c r="I207" s="31">
        <v>1.9119729331663606</v>
      </c>
    </row>
    <row r="208" spans="1:9">
      <c r="A208" s="1" t="s">
        <v>275</v>
      </c>
      <c r="B208" s="17">
        <v>206</v>
      </c>
      <c r="C208" s="2">
        <v>206</v>
      </c>
      <c r="D208" s="5">
        <v>27106.951792442349</v>
      </c>
      <c r="E208" s="5">
        <v>30174.451791046347</v>
      </c>
      <c r="F208" s="5">
        <v>1779.169499442007</v>
      </c>
      <c r="G208" s="5">
        <v>2175.7842256728727</v>
      </c>
      <c r="H208" s="10">
        <v>89.287180947982733</v>
      </c>
      <c r="I208" s="31">
        <v>0.99008532494681134</v>
      </c>
    </row>
    <row r="209" spans="1:9">
      <c r="A209" s="1" t="s">
        <v>276</v>
      </c>
      <c r="B209" s="17">
        <v>207</v>
      </c>
      <c r="C209" s="2">
        <v>207</v>
      </c>
      <c r="D209" s="5">
        <v>35869.161763661257</v>
      </c>
      <c r="E209" s="5">
        <v>19970.956695505549</v>
      </c>
      <c r="F209" s="5">
        <v>2043.4533120541275</v>
      </c>
      <c r="G209" s="5">
        <v>585.35473900603733</v>
      </c>
      <c r="H209" s="10">
        <v>454.72446657517753</v>
      </c>
      <c r="I209" s="31">
        <v>1.8498387788344175</v>
      </c>
    </row>
    <row r="210" spans="1:9">
      <c r="A210" s="1" t="s">
        <v>277</v>
      </c>
      <c r="B210" s="17">
        <v>208</v>
      </c>
      <c r="C210" s="2">
        <v>208</v>
      </c>
      <c r="D210" s="5">
        <v>20090.589534999115</v>
      </c>
      <c r="E210" s="5">
        <v>14012.484656588467</v>
      </c>
      <c r="F210" s="5">
        <v>2586.8070473924417</v>
      </c>
      <c r="G210" s="5">
        <v>356.43272823556231</v>
      </c>
      <c r="H210" s="10">
        <v>387.54633806333618</v>
      </c>
      <c r="I210" s="31">
        <v>2.2779076178716409</v>
      </c>
    </row>
    <row r="211" spans="1:9">
      <c r="A211" s="1" t="s">
        <v>278</v>
      </c>
      <c r="B211" s="17">
        <v>209</v>
      </c>
      <c r="C211" s="2">
        <v>209</v>
      </c>
      <c r="D211" s="5">
        <v>19604.491105379882</v>
      </c>
      <c r="E211" s="5">
        <v>7135.9733574598158</v>
      </c>
      <c r="F211" s="5">
        <v>2170.2107255085975</v>
      </c>
      <c r="G211" s="5">
        <v>701.79976465344566</v>
      </c>
      <c r="H211" s="10">
        <v>325.66374912553033</v>
      </c>
      <c r="I211" s="31">
        <v>1.8547608304919763</v>
      </c>
    </row>
    <row r="212" spans="1:9">
      <c r="A212" s="1" t="s">
        <v>279</v>
      </c>
      <c r="B212" s="17">
        <v>210</v>
      </c>
      <c r="C212" s="2">
        <v>210</v>
      </c>
      <c r="D212" s="5">
        <v>27622.811350405616</v>
      </c>
      <c r="E212" s="5">
        <v>7666.1411696471168</v>
      </c>
      <c r="F212" s="5">
        <v>2913.6078205018675</v>
      </c>
      <c r="G212" s="5">
        <v>944.82257866268242</v>
      </c>
      <c r="H212" s="10">
        <v>362.21952887867405</v>
      </c>
      <c r="I212" s="31">
        <v>1.5190319039988012</v>
      </c>
    </row>
    <row r="213" spans="1:9">
      <c r="A213" s="1" t="s">
        <v>280</v>
      </c>
      <c r="B213" s="17">
        <v>211</v>
      </c>
      <c r="C213" s="2">
        <v>211</v>
      </c>
      <c r="D213" s="5">
        <v>33048.954941699638</v>
      </c>
      <c r="E213" s="5">
        <v>9384.5719188373641</v>
      </c>
      <c r="F213" s="5">
        <v>1610.2422272714578</v>
      </c>
      <c r="G213" s="5">
        <v>1291.6094065321192</v>
      </c>
      <c r="H213" s="10">
        <v>212.4771883715282</v>
      </c>
      <c r="I213" s="31">
        <v>1.8846442956049927</v>
      </c>
    </row>
    <row r="214" spans="1:9">
      <c r="A214" s="1" t="s">
        <v>281</v>
      </c>
      <c r="B214" s="17">
        <v>212</v>
      </c>
      <c r="C214" s="2">
        <v>212</v>
      </c>
      <c r="D214" s="5">
        <v>16689.574905866582</v>
      </c>
      <c r="E214" s="5">
        <v>25215.809215125599</v>
      </c>
      <c r="F214" s="5">
        <v>1660.0177354311129</v>
      </c>
      <c r="G214" s="5">
        <v>1914.338541980145</v>
      </c>
      <c r="H214" s="10">
        <v>393.3340592099255</v>
      </c>
      <c r="I214" s="31">
        <v>2.2769166868505621</v>
      </c>
    </row>
    <row r="215" spans="1:9">
      <c r="A215" s="1" t="s">
        <v>282</v>
      </c>
      <c r="B215" s="17">
        <v>213</v>
      </c>
      <c r="C215" s="2">
        <v>213</v>
      </c>
      <c r="D215" s="5">
        <v>26111.628371119285</v>
      </c>
      <c r="E215" s="5">
        <v>17291.156467310255</v>
      </c>
      <c r="F215" s="5">
        <v>2609.0589721396937</v>
      </c>
      <c r="G215" s="5">
        <v>808.11940312644197</v>
      </c>
      <c r="H215" s="10">
        <v>426.1853304157255</v>
      </c>
      <c r="I215" s="31">
        <v>2.2319089633214375</v>
      </c>
    </row>
    <row r="216" spans="1:9">
      <c r="A216" s="1" t="s">
        <v>283</v>
      </c>
      <c r="B216" s="17">
        <v>214</v>
      </c>
      <c r="C216" s="2">
        <v>214</v>
      </c>
      <c r="D216" s="5">
        <v>28903.647728460644</v>
      </c>
      <c r="E216" s="5">
        <v>16409.885620986926</v>
      </c>
      <c r="F216" s="5">
        <v>1669.408836661107</v>
      </c>
      <c r="G216" s="5">
        <v>1039.7347152565305</v>
      </c>
      <c r="H216" s="10">
        <v>442.22217818209788</v>
      </c>
      <c r="I216" s="31">
        <v>2.2058817912597064</v>
      </c>
    </row>
    <row r="217" spans="1:9">
      <c r="A217" s="1" t="s">
        <v>284</v>
      </c>
      <c r="B217" s="17">
        <v>215</v>
      </c>
      <c r="C217" s="2">
        <v>215</v>
      </c>
      <c r="D217" s="5">
        <v>26180.038680519236</v>
      </c>
      <c r="E217" s="5">
        <v>27862.056871496687</v>
      </c>
      <c r="F217" s="5">
        <v>2170.0833962503493</v>
      </c>
      <c r="G217" s="5">
        <v>657.53177352500984</v>
      </c>
      <c r="H217" s="10">
        <v>260.82108653976934</v>
      </c>
      <c r="I217" s="31">
        <v>2.1006196892352804</v>
      </c>
    </row>
    <row r="218" spans="1:9">
      <c r="A218" s="1" t="s">
        <v>285</v>
      </c>
      <c r="B218" s="17">
        <v>216</v>
      </c>
      <c r="C218" s="2">
        <v>216</v>
      </c>
      <c r="D218" s="5">
        <v>13896.661707530118</v>
      </c>
      <c r="E218" s="5">
        <v>11532.661474201914</v>
      </c>
      <c r="F218" s="5">
        <v>2007.0644290361927</v>
      </c>
      <c r="G218" s="5">
        <v>1113.3309265987225</v>
      </c>
      <c r="H218" s="10">
        <v>214.62312193911816</v>
      </c>
      <c r="I218" s="31">
        <v>1.8717108819868358</v>
      </c>
    </row>
    <row r="219" spans="1:9">
      <c r="A219" s="1" t="s">
        <v>286</v>
      </c>
      <c r="B219" s="17">
        <v>217</v>
      </c>
      <c r="C219" s="2">
        <v>217</v>
      </c>
      <c r="D219" s="5">
        <v>16914.419978719568</v>
      </c>
      <c r="E219" s="5">
        <v>17118.504784704608</v>
      </c>
      <c r="F219" s="5">
        <v>1801.1582391599334</v>
      </c>
      <c r="G219" s="5">
        <v>1124.2676231740222</v>
      </c>
      <c r="H219" s="10">
        <v>279.35746075640668</v>
      </c>
      <c r="I219" s="31">
        <v>2.0428597417407204</v>
      </c>
    </row>
    <row r="220" spans="1:9">
      <c r="A220" s="1" t="s">
        <v>287</v>
      </c>
      <c r="B220" s="17">
        <v>218</v>
      </c>
      <c r="C220" s="2">
        <v>218</v>
      </c>
      <c r="D220" s="5">
        <v>19269.829483226975</v>
      </c>
      <c r="E220" s="5">
        <v>23265.150056073988</v>
      </c>
      <c r="F220" s="5">
        <v>1743.3928200452031</v>
      </c>
      <c r="G220" s="5">
        <v>1224.6401178871781</v>
      </c>
      <c r="H220" s="10">
        <v>77.597526236465228</v>
      </c>
      <c r="I220" s="31">
        <v>1.6675411433692702</v>
      </c>
    </row>
    <row r="221" spans="1:9">
      <c r="A221" s="1" t="s">
        <v>288</v>
      </c>
      <c r="B221" s="17">
        <v>219</v>
      </c>
      <c r="C221" s="2">
        <v>219</v>
      </c>
      <c r="D221" s="5">
        <v>33326.624758432306</v>
      </c>
      <c r="E221" s="5">
        <v>8384.8168105708373</v>
      </c>
      <c r="F221" s="5">
        <v>2938.9190580522081</v>
      </c>
      <c r="G221" s="5">
        <v>990.79554878965041</v>
      </c>
      <c r="H221" s="10">
        <v>424.23687203667828</v>
      </c>
      <c r="I221" s="31">
        <v>2.126595550952878</v>
      </c>
    </row>
    <row r="222" spans="1:9">
      <c r="A222" s="1" t="s">
        <v>289</v>
      </c>
      <c r="B222" s="17">
        <v>220</v>
      </c>
      <c r="C222" s="2">
        <v>220</v>
      </c>
      <c r="D222" s="5">
        <v>15881.467110433594</v>
      </c>
      <c r="E222" s="5">
        <v>11897.631665446452</v>
      </c>
      <c r="F222" s="5">
        <v>1818.0975779804542</v>
      </c>
      <c r="G222" s="5">
        <v>561.46167714989474</v>
      </c>
      <c r="H222" s="10">
        <v>242.99271976055638</v>
      </c>
      <c r="I222" s="31">
        <v>2.2875133418796381</v>
      </c>
    </row>
    <row r="223" spans="1:9">
      <c r="A223" s="1" t="s">
        <v>290</v>
      </c>
      <c r="B223" s="17">
        <v>221</v>
      </c>
      <c r="C223" s="2">
        <v>221</v>
      </c>
      <c r="D223" s="5">
        <v>24656.518177638507</v>
      </c>
      <c r="E223" s="5">
        <v>21979.854196676395</v>
      </c>
      <c r="F223" s="5">
        <v>1649.5829890308344</v>
      </c>
      <c r="G223" s="5">
        <v>1813.7656784301032</v>
      </c>
      <c r="H223" s="10">
        <v>334.26145182115465</v>
      </c>
      <c r="I223" s="31">
        <v>1.4439766291519831</v>
      </c>
    </row>
    <row r="224" spans="1:9">
      <c r="A224" s="1" t="s">
        <v>291</v>
      </c>
      <c r="B224" s="17">
        <v>222</v>
      </c>
      <c r="C224" s="2">
        <v>222</v>
      </c>
      <c r="D224" s="5">
        <v>19724.479816990286</v>
      </c>
      <c r="E224" s="5">
        <v>23055.795019968682</v>
      </c>
      <c r="F224" s="5">
        <v>1758.6672151272908</v>
      </c>
      <c r="G224" s="5">
        <v>1243.2990048509271</v>
      </c>
      <c r="H224" s="10">
        <v>247.56778987070606</v>
      </c>
      <c r="I224" s="31">
        <v>2.5612978554176138</v>
      </c>
    </row>
    <row r="225" spans="1:9">
      <c r="A225" s="1" t="s">
        <v>292</v>
      </c>
      <c r="B225" s="17">
        <v>223</v>
      </c>
      <c r="C225" s="2">
        <v>223</v>
      </c>
      <c r="D225" s="5">
        <v>21146.001731950808</v>
      </c>
      <c r="E225" s="5">
        <v>-8282.8554299687221</v>
      </c>
      <c r="F225" s="5">
        <v>2566.5366842266776</v>
      </c>
      <c r="G225" s="5">
        <v>1436.3937154038683</v>
      </c>
      <c r="H225" s="10">
        <v>347.021608300244</v>
      </c>
      <c r="I225" s="31">
        <v>2.5289659248204757</v>
      </c>
    </row>
    <row r="226" spans="1:9">
      <c r="A226" s="1" t="s">
        <v>293</v>
      </c>
      <c r="B226" s="17">
        <v>224</v>
      </c>
      <c r="C226" s="2">
        <v>224</v>
      </c>
      <c r="D226" s="5">
        <v>29086.343792136038</v>
      </c>
      <c r="E226" s="5">
        <v>8926.732670067222</v>
      </c>
      <c r="F226" s="5">
        <v>2372.9086728243528</v>
      </c>
      <c r="G226" s="5">
        <v>1464.9794645901454</v>
      </c>
      <c r="H226" s="10">
        <v>7.4157754567265783</v>
      </c>
      <c r="I226" s="31">
        <v>2.4556199258126057</v>
      </c>
    </row>
    <row r="227" spans="1:9">
      <c r="A227" s="1" t="s">
        <v>294</v>
      </c>
      <c r="B227" s="17">
        <v>225</v>
      </c>
      <c r="C227" s="2">
        <v>225</v>
      </c>
      <c r="D227" s="5">
        <v>21704.664943200758</v>
      </c>
      <c r="E227" s="5">
        <v>16305.426519953071</v>
      </c>
      <c r="F227" s="5">
        <v>1997.3396569374856</v>
      </c>
      <c r="G227" s="5">
        <v>413.0867095508836</v>
      </c>
      <c r="H227" s="10">
        <v>156.64347535461889</v>
      </c>
      <c r="I227" s="31">
        <v>2.1617858953044546</v>
      </c>
    </row>
    <row r="228" spans="1:9">
      <c r="A228" s="1" t="s">
        <v>295</v>
      </c>
      <c r="B228" s="17">
        <v>226</v>
      </c>
      <c r="C228" s="2">
        <v>226</v>
      </c>
      <c r="D228" s="5">
        <v>34902.907058643767</v>
      </c>
      <c r="E228" s="5">
        <v>19846.877240144575</v>
      </c>
      <c r="F228" s="5">
        <v>1686.5766860254482</v>
      </c>
      <c r="G228" s="5">
        <v>1131.3923948218178</v>
      </c>
      <c r="H228" s="10">
        <v>540.40322656842068</v>
      </c>
      <c r="I228" s="31">
        <v>2.1786776881794125</v>
      </c>
    </row>
    <row r="229" spans="1:9">
      <c r="A229" s="1" t="s">
        <v>296</v>
      </c>
      <c r="B229" s="17">
        <v>227</v>
      </c>
      <c r="C229" s="2">
        <v>227</v>
      </c>
      <c r="D229" s="5">
        <v>30481.51628170567</v>
      </c>
      <c r="E229" s="5">
        <v>4027.2392817058153</v>
      </c>
      <c r="F229" s="5">
        <v>1739.7224404893607</v>
      </c>
      <c r="G229" s="5">
        <v>1963.2150163569565</v>
      </c>
      <c r="H229" s="10">
        <v>494.9351806605107</v>
      </c>
      <c r="I229" s="31">
        <v>2.7706077146553056</v>
      </c>
    </row>
    <row r="230" spans="1:9">
      <c r="A230" s="1" t="s">
        <v>297</v>
      </c>
      <c r="B230" s="17">
        <v>228</v>
      </c>
      <c r="C230" s="2">
        <v>228</v>
      </c>
      <c r="D230" s="5">
        <v>20409.955145756929</v>
      </c>
      <c r="E230" s="5">
        <v>26616.596558591766</v>
      </c>
      <c r="F230" s="5">
        <v>3413.8435488975047</v>
      </c>
      <c r="G230" s="5">
        <v>1102.2786798966297</v>
      </c>
      <c r="H230" s="10">
        <v>246.93838906173073</v>
      </c>
      <c r="I230" s="31">
        <v>2.529429855848683</v>
      </c>
    </row>
    <row r="231" spans="1:9">
      <c r="A231" s="1" t="s">
        <v>298</v>
      </c>
      <c r="B231" s="17">
        <v>229</v>
      </c>
      <c r="C231" s="2">
        <v>229</v>
      </c>
      <c r="D231" s="5">
        <v>32688.195680351644</v>
      </c>
      <c r="E231" s="5">
        <v>20970.637449042268</v>
      </c>
      <c r="F231" s="5">
        <v>1238.082111213673</v>
      </c>
      <c r="G231" s="5">
        <v>1971.9919089665598</v>
      </c>
      <c r="H231" s="10">
        <v>255.45419844060848</v>
      </c>
      <c r="I231" s="31">
        <v>2.231260101261249</v>
      </c>
    </row>
    <row r="232" spans="1:9">
      <c r="A232" s="1" t="s">
        <v>299</v>
      </c>
      <c r="B232" s="17">
        <v>230</v>
      </c>
      <c r="C232" s="2">
        <v>230</v>
      </c>
      <c r="D232" s="5">
        <v>22437.035450935899</v>
      </c>
      <c r="E232" s="5">
        <v>20755.027321292175</v>
      </c>
      <c r="F232" s="5">
        <v>1557.8217948322092</v>
      </c>
      <c r="G232" s="5">
        <v>771.78995156002543</v>
      </c>
      <c r="H232" s="10">
        <v>270.63020776372173</v>
      </c>
      <c r="I232" s="31">
        <v>1.893046898939609</v>
      </c>
    </row>
    <row r="233" spans="1:9">
      <c r="A233" s="1" t="s">
        <v>300</v>
      </c>
      <c r="B233" s="17">
        <v>231</v>
      </c>
      <c r="C233" s="2">
        <v>231</v>
      </c>
      <c r="D233" s="5">
        <v>18742.186331300079</v>
      </c>
      <c r="E233" s="5">
        <v>20231.662966881966</v>
      </c>
      <c r="F233" s="5">
        <v>2086.0159587945345</v>
      </c>
      <c r="G233" s="5">
        <v>688.9392813927077</v>
      </c>
      <c r="H233" s="10">
        <v>237.23526353537341</v>
      </c>
      <c r="I233" s="31">
        <v>1.9673763462100382</v>
      </c>
    </row>
    <row r="234" spans="1:9">
      <c r="A234" s="1" t="s">
        <v>301</v>
      </c>
      <c r="B234" s="17">
        <v>232</v>
      </c>
      <c r="C234" s="2">
        <v>232</v>
      </c>
      <c r="D234" s="5">
        <v>16632.97336904984</v>
      </c>
      <c r="E234" s="5">
        <v>15158.746465593194</v>
      </c>
      <c r="F234" s="5">
        <v>1889.7924768870255</v>
      </c>
      <c r="G234" s="5">
        <v>927.05981980991396</v>
      </c>
      <c r="H234" s="10">
        <v>431.83843428746218</v>
      </c>
      <c r="I234" s="31">
        <v>1.9431097603313887</v>
      </c>
    </row>
    <row r="235" spans="1:9">
      <c r="A235" s="1" t="s">
        <v>302</v>
      </c>
      <c r="B235" s="17">
        <v>233</v>
      </c>
      <c r="C235" s="2">
        <v>233</v>
      </c>
      <c r="D235" s="5">
        <v>34220.868611449849</v>
      </c>
      <c r="E235" s="5">
        <v>29545.856905280569</v>
      </c>
      <c r="F235" s="5">
        <v>2488.7078119908365</v>
      </c>
      <c r="G235" s="5">
        <v>986.31859600475195</v>
      </c>
      <c r="H235" s="10">
        <v>263.34526315226572</v>
      </c>
      <c r="I235" s="31">
        <v>1.1791553913548327</v>
      </c>
    </row>
    <row r="236" spans="1:9">
      <c r="A236" s="1" t="s">
        <v>303</v>
      </c>
      <c r="B236" s="17">
        <v>234</v>
      </c>
      <c r="C236" s="2">
        <v>234</v>
      </c>
      <c r="D236" s="5">
        <v>31751.399960243223</v>
      </c>
      <c r="E236" s="5">
        <v>485.05430855749182</v>
      </c>
      <c r="F236" s="5">
        <v>1681.1924773909525</v>
      </c>
      <c r="G236" s="5">
        <v>895.69533592559651</v>
      </c>
      <c r="H236" s="10">
        <v>134.08419466181545</v>
      </c>
      <c r="I236" s="31">
        <v>2.349014134151183</v>
      </c>
    </row>
    <row r="237" spans="1:9">
      <c r="A237" s="1" t="s">
        <v>304</v>
      </c>
      <c r="B237" s="17">
        <v>235</v>
      </c>
      <c r="C237" s="2">
        <v>235</v>
      </c>
      <c r="D237" s="5">
        <v>24668.969005021016</v>
      </c>
      <c r="E237" s="5">
        <v>23339.021480134586</v>
      </c>
      <c r="F237" s="5">
        <v>1450.2262978757174</v>
      </c>
      <c r="G237" s="5">
        <v>370.64293531777707</v>
      </c>
      <c r="H237" s="10">
        <v>419.98951213886062</v>
      </c>
      <c r="I237" s="31">
        <v>1.9034628987987148</v>
      </c>
    </row>
    <row r="238" spans="1:9">
      <c r="A238" s="1" t="s">
        <v>305</v>
      </c>
      <c r="B238" s="17">
        <v>236</v>
      </c>
      <c r="C238" s="2">
        <v>236</v>
      </c>
      <c r="D238" s="5">
        <v>36509.101558916744</v>
      </c>
      <c r="E238" s="5">
        <v>19802.719824982032</v>
      </c>
      <c r="F238" s="5">
        <v>1495.6578319660296</v>
      </c>
      <c r="G238" s="5">
        <v>1639.972756078281</v>
      </c>
      <c r="H238" s="10">
        <v>417.42493664937388</v>
      </c>
      <c r="I238" s="31">
        <v>1.6938227292206633</v>
      </c>
    </row>
    <row r="239" spans="1:9">
      <c r="A239" s="1" t="s">
        <v>306</v>
      </c>
      <c r="B239" s="17">
        <v>237</v>
      </c>
      <c r="C239" s="2">
        <v>237</v>
      </c>
      <c r="D239" s="5">
        <v>25129.718859377681</v>
      </c>
      <c r="E239" s="5">
        <v>9213.992874325013</v>
      </c>
      <c r="F239" s="5">
        <v>1772.4471967275279</v>
      </c>
      <c r="G239" s="5">
        <v>1357.1539866988348</v>
      </c>
      <c r="H239" s="10">
        <v>248.63582662205476</v>
      </c>
      <c r="I239" s="31">
        <v>1.3937609056933056</v>
      </c>
    </row>
    <row r="240" spans="1:9">
      <c r="A240" s="1" t="s">
        <v>307</v>
      </c>
      <c r="B240" s="17">
        <v>238</v>
      </c>
      <c r="C240" s="2">
        <v>238</v>
      </c>
      <c r="D240" s="5">
        <v>30846.052335990724</v>
      </c>
      <c r="E240" s="5">
        <v>18302.120551094784</v>
      </c>
      <c r="F240" s="5">
        <v>1756.7521603458702</v>
      </c>
      <c r="G240" s="5">
        <v>371.33869459187167</v>
      </c>
      <c r="H240" s="10">
        <v>351.48766991519255</v>
      </c>
      <c r="I240" s="31">
        <v>2.2191786531488091</v>
      </c>
    </row>
    <row r="241" spans="1:9">
      <c r="A241" s="1" t="s">
        <v>308</v>
      </c>
      <c r="B241" s="17">
        <v>239</v>
      </c>
      <c r="C241" s="2">
        <v>239</v>
      </c>
      <c r="D241" s="5">
        <v>28628.10550508252</v>
      </c>
      <c r="E241" s="5">
        <v>34695.368072609024</v>
      </c>
      <c r="F241" s="5">
        <v>1806.7413997604419</v>
      </c>
      <c r="G241" s="5">
        <v>1181.2664109847208</v>
      </c>
      <c r="H241" s="10">
        <v>283.99744296043241</v>
      </c>
      <c r="I241" s="31">
        <v>2.7219868877267785</v>
      </c>
    </row>
    <row r="242" spans="1:9">
      <c r="A242" s="1" t="s">
        <v>309</v>
      </c>
      <c r="B242" s="17">
        <v>240</v>
      </c>
      <c r="C242" s="2">
        <v>240</v>
      </c>
      <c r="D242" s="5">
        <v>24019.26620002323</v>
      </c>
      <c r="E242" s="5">
        <v>25244.584495559873</v>
      </c>
      <c r="F242" s="5">
        <v>2729.2077697174063</v>
      </c>
      <c r="G242" s="5">
        <v>1111.8933109254829</v>
      </c>
      <c r="H242" s="10">
        <v>244.50774612036798</v>
      </c>
      <c r="I242" s="31">
        <v>2.2376471701403702</v>
      </c>
    </row>
    <row r="243" spans="1:9">
      <c r="A243" s="1" t="s">
        <v>310</v>
      </c>
      <c r="B243" s="17">
        <v>241</v>
      </c>
      <c r="C243" s="2">
        <v>241</v>
      </c>
      <c r="D243" s="5">
        <v>31170.705456860422</v>
      </c>
      <c r="E243" s="5">
        <v>5259.3715092933144</v>
      </c>
      <c r="F243" s="5">
        <v>2405.3412538895755</v>
      </c>
      <c r="G243" s="5">
        <v>1751.5763543387254</v>
      </c>
      <c r="H243" s="10">
        <v>148.23119665711306</v>
      </c>
      <c r="I243" s="31">
        <v>2.6809108193168854</v>
      </c>
    </row>
    <row r="244" spans="1:9">
      <c r="A244" s="1" t="s">
        <v>311</v>
      </c>
      <c r="B244" s="17">
        <v>242</v>
      </c>
      <c r="C244" s="2">
        <v>242</v>
      </c>
      <c r="D244" s="5">
        <v>18379.274297977961</v>
      </c>
      <c r="E244" s="5">
        <v>14834.39254550427</v>
      </c>
      <c r="F244" s="5">
        <v>2100.8509542488282</v>
      </c>
      <c r="G244" s="5">
        <v>1370.0642548546273</v>
      </c>
      <c r="H244" s="10">
        <v>421.85539247443262</v>
      </c>
      <c r="I244" s="31">
        <v>2.2272974461424369</v>
      </c>
    </row>
    <row r="245" spans="1:9">
      <c r="A245" s="1" t="s">
        <v>312</v>
      </c>
      <c r="B245" s="17">
        <v>243</v>
      </c>
      <c r="C245" s="2">
        <v>243</v>
      </c>
      <c r="D245" s="5">
        <v>26473.382187940704</v>
      </c>
      <c r="E245" s="5">
        <v>4902.952111976274</v>
      </c>
      <c r="F245" s="5">
        <v>1737.5731908222335</v>
      </c>
      <c r="G245" s="5">
        <v>2092.7749813953815</v>
      </c>
      <c r="H245" s="10">
        <v>228.94048394450397</v>
      </c>
      <c r="I245" s="31">
        <v>2.8925852302467305</v>
      </c>
    </row>
    <row r="246" spans="1:9">
      <c r="A246" s="1" t="s">
        <v>313</v>
      </c>
      <c r="B246" s="17">
        <v>244</v>
      </c>
      <c r="C246" s="2">
        <v>244</v>
      </c>
      <c r="D246" s="5">
        <v>13433.148499674506</v>
      </c>
      <c r="E246" s="5">
        <v>14114.731704410642</v>
      </c>
      <c r="F246" s="5">
        <v>2532.4113061477801</v>
      </c>
      <c r="G246" s="5">
        <v>159.28946084652466</v>
      </c>
      <c r="H246" s="10">
        <v>283.90527874275608</v>
      </c>
      <c r="I246" s="31">
        <v>2.3518084099754546</v>
      </c>
    </row>
    <row r="247" spans="1:9">
      <c r="A247" s="1" t="s">
        <v>314</v>
      </c>
      <c r="B247" s="17">
        <v>245</v>
      </c>
      <c r="C247" s="2">
        <v>245</v>
      </c>
      <c r="D247" s="5">
        <v>22620.128077869682</v>
      </c>
      <c r="E247" s="5">
        <v>10507.885999356231</v>
      </c>
      <c r="F247" s="5">
        <v>1949.4121283249954</v>
      </c>
      <c r="G247" s="5">
        <v>1023.2774269851905</v>
      </c>
      <c r="H247" s="10">
        <v>240.03237222190978</v>
      </c>
      <c r="I247" s="31">
        <v>2.4676885463390121</v>
      </c>
    </row>
    <row r="248" spans="1:9">
      <c r="A248" s="1" t="s">
        <v>315</v>
      </c>
      <c r="B248" s="17">
        <v>246</v>
      </c>
      <c r="C248" s="2">
        <v>246</v>
      </c>
      <c r="D248" s="5">
        <v>15623.587688691121</v>
      </c>
      <c r="E248" s="5">
        <v>4485.4131267600769</v>
      </c>
      <c r="F248" s="5">
        <v>1937.3238068700559</v>
      </c>
      <c r="G248" s="5">
        <v>1775.9365337287124</v>
      </c>
      <c r="H248" s="10">
        <v>306.35801595658154</v>
      </c>
      <c r="I248" s="31">
        <v>1.3752528369781416</v>
      </c>
    </row>
    <row r="249" spans="1:9">
      <c r="A249" s="1" t="s">
        <v>316</v>
      </c>
      <c r="B249" s="17">
        <v>247</v>
      </c>
      <c r="C249" s="2">
        <v>247</v>
      </c>
      <c r="D249" s="5">
        <v>35138.931438590451</v>
      </c>
      <c r="E249" s="5">
        <v>22273.462435991234</v>
      </c>
      <c r="F249" s="5">
        <v>2106.111812664396</v>
      </c>
      <c r="G249" s="5">
        <v>1273.659186037479</v>
      </c>
      <c r="H249" s="10">
        <v>347.7789160621312</v>
      </c>
      <c r="I249" s="31">
        <v>1.9922479665632622</v>
      </c>
    </row>
    <row r="250" spans="1:9">
      <c r="A250" s="1" t="s">
        <v>317</v>
      </c>
      <c r="B250" s="17">
        <v>248</v>
      </c>
      <c r="C250" s="2">
        <v>248</v>
      </c>
      <c r="D250" s="5">
        <v>19479.680688119832</v>
      </c>
      <c r="E250" s="5">
        <v>21572.622635879325</v>
      </c>
      <c r="F250" s="5">
        <v>1624.8532596554398</v>
      </c>
      <c r="G250" s="5">
        <v>1102.1471494331524</v>
      </c>
      <c r="H250" s="10">
        <v>518.59988418404714</v>
      </c>
      <c r="I250" s="31">
        <v>1.9046873987821513</v>
      </c>
    </row>
    <row r="251" spans="1:9">
      <c r="A251" s="1" t="s">
        <v>318</v>
      </c>
      <c r="B251" s="17">
        <v>249</v>
      </c>
      <c r="C251" s="2">
        <v>249</v>
      </c>
      <c r="D251" s="5">
        <v>22668.943126581187</v>
      </c>
      <c r="E251" s="5">
        <v>10089.08298373336</v>
      </c>
      <c r="F251" s="5">
        <v>2286.0712555674509</v>
      </c>
      <c r="G251" s="5">
        <v>819.9964810527706</v>
      </c>
      <c r="H251" s="10">
        <v>166.39398397059881</v>
      </c>
      <c r="I251" s="31">
        <v>1.9651283117576881</v>
      </c>
    </row>
    <row r="252" spans="1:9">
      <c r="A252" s="1" t="s">
        <v>319</v>
      </c>
      <c r="B252" s="17">
        <v>250</v>
      </c>
      <c r="C252" s="2">
        <v>250</v>
      </c>
      <c r="D252" s="5">
        <v>15437.895369285659</v>
      </c>
      <c r="E252" s="5">
        <v>12645.417183088566</v>
      </c>
      <c r="F252" s="5">
        <v>1442.9435190512706</v>
      </c>
      <c r="G252" s="5">
        <v>1174.7249216258967</v>
      </c>
      <c r="H252" s="10">
        <v>407.02133567960732</v>
      </c>
      <c r="I252" s="31">
        <v>2.1371900680509484</v>
      </c>
    </row>
    <row r="253" spans="1:9">
      <c r="A253" s="1" t="s">
        <v>320</v>
      </c>
      <c r="B253" s="17">
        <v>251</v>
      </c>
      <c r="C253" s="2">
        <v>251</v>
      </c>
      <c r="D253" s="5">
        <v>28678.953727325141</v>
      </c>
      <c r="E253" s="5">
        <v>17742.954394283799</v>
      </c>
      <c r="F253" s="5">
        <v>2135.6101364480237</v>
      </c>
      <c r="G253" s="5">
        <v>1994.472554911157</v>
      </c>
      <c r="H253" s="10">
        <v>399.34294708986886</v>
      </c>
      <c r="I253" s="31">
        <v>1.901815622958928</v>
      </c>
    </row>
    <row r="254" spans="1:9">
      <c r="A254" s="1" t="s">
        <v>321</v>
      </c>
      <c r="B254" s="17">
        <v>252</v>
      </c>
      <c r="C254" s="2">
        <v>252</v>
      </c>
      <c r="D254" s="5">
        <v>27409.611389108566</v>
      </c>
      <c r="E254" s="5">
        <v>567.58805864029455</v>
      </c>
      <c r="F254" s="5">
        <v>1996.9161734669726</v>
      </c>
      <c r="G254" s="5">
        <v>1468.8706765727363</v>
      </c>
      <c r="H254" s="10">
        <v>274.7755433789705</v>
      </c>
      <c r="I254" s="31">
        <v>1.9312848639396165</v>
      </c>
    </row>
    <row r="255" spans="1:9">
      <c r="A255" s="1" t="s">
        <v>322</v>
      </c>
      <c r="B255" s="17">
        <v>253</v>
      </c>
      <c r="C255" s="2">
        <v>253</v>
      </c>
      <c r="D255" s="5">
        <v>20999.474755302661</v>
      </c>
      <c r="E255" s="5">
        <v>4089.4370131871347</v>
      </c>
      <c r="F255" s="5">
        <v>2333.2342401962633</v>
      </c>
      <c r="G255" s="5">
        <v>1145.862589689317</v>
      </c>
      <c r="H255" s="10">
        <v>416.16723059418905</v>
      </c>
      <c r="I255" s="31">
        <v>1.3439920098147908</v>
      </c>
    </row>
    <row r="256" spans="1:9">
      <c r="A256" s="1" t="s">
        <v>323</v>
      </c>
      <c r="B256" s="17">
        <v>254</v>
      </c>
      <c r="C256" s="2">
        <v>254</v>
      </c>
      <c r="D256" s="5">
        <v>22234.926671564015</v>
      </c>
      <c r="E256" s="5">
        <v>14189.588328641148</v>
      </c>
      <c r="F256" s="5">
        <v>2210.3677587628154</v>
      </c>
      <c r="G256" s="5">
        <v>892.03338031158978</v>
      </c>
      <c r="H256" s="10">
        <v>343.79216315723784</v>
      </c>
      <c r="I256" s="31">
        <v>1.5506219725370087</v>
      </c>
    </row>
    <row r="257" spans="1:9">
      <c r="A257" s="1" t="s">
        <v>324</v>
      </c>
      <c r="B257" s="17">
        <v>255</v>
      </c>
      <c r="C257" s="2">
        <v>255</v>
      </c>
      <c r="D257" s="5">
        <v>27380.643387281314</v>
      </c>
      <c r="E257" s="5">
        <v>17235.659955852552</v>
      </c>
      <c r="F257" s="5">
        <v>1762.8957970563463</v>
      </c>
      <c r="G257" s="5">
        <v>2030.6311398007199</v>
      </c>
      <c r="H257" s="10">
        <v>419.11538999706568</v>
      </c>
      <c r="I257" s="31">
        <v>1.3100780102735357</v>
      </c>
    </row>
    <row r="258" spans="1:9">
      <c r="A258" s="1" t="s">
        <v>325</v>
      </c>
      <c r="B258" s="17">
        <v>256</v>
      </c>
      <c r="C258" s="2">
        <v>256</v>
      </c>
      <c r="D258" s="5">
        <v>25449.959427165912</v>
      </c>
      <c r="E258" s="5">
        <v>18267.229594134107</v>
      </c>
      <c r="F258" s="5">
        <v>2117.1394359233927</v>
      </c>
      <c r="G258" s="5">
        <v>391.82302770761794</v>
      </c>
      <c r="H258" s="10">
        <v>260.74124740320872</v>
      </c>
      <c r="I258" s="31">
        <v>1.1436229780423659</v>
      </c>
    </row>
    <row r="259" spans="1:9">
      <c r="A259" s="1" t="s">
        <v>326</v>
      </c>
      <c r="B259" s="17">
        <v>257</v>
      </c>
      <c r="C259" s="2">
        <v>257</v>
      </c>
      <c r="D259" s="5">
        <v>23820.078140522673</v>
      </c>
      <c r="E259" s="5">
        <v>19677.710935498508</v>
      </c>
      <c r="F259" s="5">
        <v>1066.6787397175469</v>
      </c>
      <c r="G259" s="5">
        <v>1084.7334994740993</v>
      </c>
      <c r="H259" s="10">
        <v>531.43878423693127</v>
      </c>
      <c r="I259" s="31">
        <v>0.87577442994133747</v>
      </c>
    </row>
    <row r="260" spans="1:9">
      <c r="A260" s="1" t="s">
        <v>327</v>
      </c>
      <c r="B260" s="17">
        <v>258</v>
      </c>
      <c r="C260" s="2">
        <v>258</v>
      </c>
      <c r="D260" s="5">
        <v>30200.61101235692</v>
      </c>
      <c r="E260" s="5">
        <v>11034.252425982286</v>
      </c>
      <c r="F260" s="5">
        <v>2279.355774063235</v>
      </c>
      <c r="G260" s="5">
        <v>476.04923608644071</v>
      </c>
      <c r="H260" s="10">
        <v>244.0170709466172</v>
      </c>
      <c r="I260" s="31">
        <v>2.2577800664197625</v>
      </c>
    </row>
    <row r="261" spans="1:9">
      <c r="A261" s="1" t="s">
        <v>328</v>
      </c>
      <c r="B261" s="17">
        <v>259</v>
      </c>
      <c r="C261" s="2">
        <v>259</v>
      </c>
      <c r="D261" s="5">
        <v>23360.637574384189</v>
      </c>
      <c r="E261" s="5">
        <v>11581.159346716786</v>
      </c>
      <c r="F261" s="5">
        <v>2034.3100481303666</v>
      </c>
      <c r="G261" s="5">
        <v>1012.7488436236706</v>
      </c>
      <c r="H261" s="10">
        <v>514.28281910525288</v>
      </c>
      <c r="I261" s="31">
        <v>2.175834239942013</v>
      </c>
    </row>
    <row r="262" spans="1:9">
      <c r="A262" s="1" t="s">
        <v>329</v>
      </c>
      <c r="B262" s="17">
        <v>260</v>
      </c>
      <c r="C262" s="2">
        <v>260</v>
      </c>
      <c r="D262" s="5">
        <v>26355.357408657572</v>
      </c>
      <c r="E262" s="5">
        <v>19551.465898631985</v>
      </c>
      <c r="F262" s="5">
        <v>2097.0987201698263</v>
      </c>
      <c r="G262" s="5">
        <v>767.21588749835405</v>
      </c>
      <c r="H262" s="10">
        <v>223.13181016001795</v>
      </c>
      <c r="I262" s="31">
        <v>2.2454527562416828</v>
      </c>
    </row>
    <row r="263" spans="1:9">
      <c r="A263" s="1" t="s">
        <v>330</v>
      </c>
      <c r="B263" s="17">
        <v>261</v>
      </c>
      <c r="C263" s="2">
        <v>261</v>
      </c>
      <c r="D263" s="5">
        <v>18959.918444121602</v>
      </c>
      <c r="E263" s="5">
        <v>352.03369693755121</v>
      </c>
      <c r="F263" s="5">
        <v>1496.72762510899</v>
      </c>
      <c r="G263" s="5">
        <v>851.04504597340906</v>
      </c>
      <c r="H263" s="10">
        <v>596.32020235553387</v>
      </c>
      <c r="I263" s="31">
        <v>2.6095541651096923</v>
      </c>
    </row>
    <row r="264" spans="1:9">
      <c r="A264" s="1" t="s">
        <v>331</v>
      </c>
      <c r="B264" s="17">
        <v>262</v>
      </c>
      <c r="C264" s="2">
        <v>262</v>
      </c>
      <c r="D264" s="5">
        <v>22262.597974482876</v>
      </c>
      <c r="E264" s="5">
        <v>17169.493540667929</v>
      </c>
      <c r="F264" s="5">
        <v>1161.584511847552</v>
      </c>
      <c r="G264" s="5">
        <v>1415.1884232523332</v>
      </c>
      <c r="H264" s="10">
        <v>311.04113594451223</v>
      </c>
      <c r="I264" s="31">
        <v>2.1615656884108816</v>
      </c>
    </row>
    <row r="265" spans="1:9">
      <c r="A265" s="1" t="s">
        <v>332</v>
      </c>
      <c r="B265" s="17">
        <v>263</v>
      </c>
      <c r="C265" s="2">
        <v>263</v>
      </c>
      <c r="D265" s="5">
        <v>25308.801791143287</v>
      </c>
      <c r="E265" s="5">
        <v>13534.643985500961</v>
      </c>
      <c r="F265" s="5">
        <v>1522.4640514324094</v>
      </c>
      <c r="G265" s="5">
        <v>891.7088565512347</v>
      </c>
      <c r="H265" s="10">
        <v>358.27166845196803</v>
      </c>
      <c r="I265" s="31">
        <v>1.2966411139035685</v>
      </c>
    </row>
    <row r="266" spans="1:9">
      <c r="A266" s="1" t="s">
        <v>333</v>
      </c>
      <c r="B266" s="17">
        <v>264</v>
      </c>
      <c r="C266" s="2">
        <v>264</v>
      </c>
      <c r="D266" s="5">
        <v>31029.365275845837</v>
      </c>
      <c r="E266" s="5">
        <v>15544.229267922501</v>
      </c>
      <c r="F266" s="5">
        <v>2182.7105933160892</v>
      </c>
      <c r="G266" s="5">
        <v>1278.1680994957458</v>
      </c>
      <c r="H266" s="10">
        <v>234.0315641173645</v>
      </c>
      <c r="I266" s="31">
        <v>1.561398213770552</v>
      </c>
    </row>
    <row r="267" spans="1:9">
      <c r="A267" s="1" t="s">
        <v>334</v>
      </c>
      <c r="B267" s="17">
        <v>265</v>
      </c>
      <c r="C267" s="2">
        <v>265</v>
      </c>
      <c r="D267" s="5">
        <v>23499.365473617305</v>
      </c>
      <c r="E267" s="5">
        <v>22138.304125889415</v>
      </c>
      <c r="F267" s="5">
        <v>1857.6412707451639</v>
      </c>
      <c r="G267" s="5">
        <v>341.35712445906734</v>
      </c>
      <c r="H267" s="10">
        <v>310.13099717679029</v>
      </c>
      <c r="I267" s="31">
        <v>1.4508832152654563</v>
      </c>
    </row>
    <row r="268" spans="1:9">
      <c r="A268" s="1" t="s">
        <v>335</v>
      </c>
      <c r="B268" s="17">
        <v>266</v>
      </c>
      <c r="C268" s="2">
        <v>266</v>
      </c>
      <c r="D268" s="5">
        <v>36420.069960080444</v>
      </c>
      <c r="E268" s="5">
        <v>20963.22056474429</v>
      </c>
      <c r="F268" s="5">
        <v>1563.8500394023979</v>
      </c>
      <c r="G268" s="5">
        <v>1046.1440595235433</v>
      </c>
      <c r="H268" s="10">
        <v>450.00204327302231</v>
      </c>
      <c r="I268" s="31">
        <v>2.5070852699440351</v>
      </c>
    </row>
    <row r="269" spans="1:9">
      <c r="A269" s="1" t="s">
        <v>336</v>
      </c>
      <c r="B269" s="17">
        <v>267</v>
      </c>
      <c r="C269" s="2">
        <v>267</v>
      </c>
      <c r="D269" s="5">
        <v>22496.620654172919</v>
      </c>
      <c r="E269" s="5">
        <v>41599.056025481157</v>
      </c>
      <c r="F269" s="5">
        <v>1678.9693312793063</v>
      </c>
      <c r="G269" s="5">
        <v>1190.6505563883218</v>
      </c>
      <c r="H269" s="10">
        <v>460.65200891975724</v>
      </c>
      <c r="I269" s="31">
        <v>2.149059326511086</v>
      </c>
    </row>
    <row r="270" spans="1:9">
      <c r="A270" s="1" t="s">
        <v>337</v>
      </c>
      <c r="B270" s="17">
        <v>268</v>
      </c>
      <c r="C270" s="2">
        <v>268</v>
      </c>
      <c r="D270" s="5">
        <v>30005.577425087129</v>
      </c>
      <c r="E270" s="5">
        <v>8876.4316953545949</v>
      </c>
      <c r="F270" s="5">
        <v>2021.9755946717598</v>
      </c>
      <c r="G270" s="5">
        <v>1268.4459085084416</v>
      </c>
      <c r="H270" s="10">
        <v>207.70847754251622</v>
      </c>
      <c r="I270" s="31">
        <v>2.6950040605055605</v>
      </c>
    </row>
    <row r="271" spans="1:9">
      <c r="A271" s="1" t="s">
        <v>338</v>
      </c>
      <c r="B271" s="17">
        <v>269</v>
      </c>
      <c r="C271" s="2">
        <v>269</v>
      </c>
      <c r="D271" s="5">
        <v>18271.283198597619</v>
      </c>
      <c r="E271" s="5">
        <v>21007.015500599038</v>
      </c>
      <c r="F271" s="5">
        <v>1685.4068484652928</v>
      </c>
      <c r="G271" s="5">
        <v>2236.1210599655569</v>
      </c>
      <c r="H271" s="10">
        <v>209.4526134657342</v>
      </c>
      <c r="I271" s="31">
        <v>2.1489134127199563</v>
      </c>
    </row>
    <row r="272" spans="1:9">
      <c r="A272" s="1" t="s">
        <v>339</v>
      </c>
      <c r="B272" s="17">
        <v>270</v>
      </c>
      <c r="C272" s="2">
        <v>270</v>
      </c>
      <c r="D272" s="5">
        <v>19665.284882356762</v>
      </c>
      <c r="E272" s="5">
        <v>24029.386557685313</v>
      </c>
      <c r="F272" s="5">
        <v>2884.026505326703</v>
      </c>
      <c r="G272" s="5">
        <v>2045.5174380503411</v>
      </c>
      <c r="H272" s="10">
        <v>160.11805266648184</v>
      </c>
      <c r="I272" s="31">
        <v>2.5818401654845715</v>
      </c>
    </row>
    <row r="273" spans="1:9">
      <c r="A273" s="1" t="s">
        <v>340</v>
      </c>
      <c r="B273" s="17">
        <v>271</v>
      </c>
      <c r="C273" s="2">
        <v>271</v>
      </c>
      <c r="D273" s="5">
        <v>29307.235821714901</v>
      </c>
      <c r="E273" s="5">
        <v>24228.56429014865</v>
      </c>
      <c r="F273" s="5">
        <v>1789.101750019556</v>
      </c>
      <c r="G273" s="5">
        <v>1220.4753962959546</v>
      </c>
      <c r="H273" s="10">
        <v>231.99080457529521</v>
      </c>
      <c r="I273" s="31">
        <v>2.3290501344212302</v>
      </c>
    </row>
    <row r="274" spans="1:9">
      <c r="A274" s="1" t="s">
        <v>341</v>
      </c>
      <c r="B274" s="17">
        <v>272</v>
      </c>
      <c r="C274" s="2">
        <v>272</v>
      </c>
      <c r="D274" s="5">
        <v>17308.276535506</v>
      </c>
      <c r="E274" s="5">
        <v>24635.544903732633</v>
      </c>
      <c r="F274" s="5">
        <v>1664.0166699479707</v>
      </c>
      <c r="G274" s="5">
        <v>1248.0691353511463</v>
      </c>
      <c r="H274" s="10">
        <v>334.44591720185304</v>
      </c>
      <c r="I274" s="31">
        <v>2.5185841318574589</v>
      </c>
    </row>
    <row r="275" spans="1:9">
      <c r="A275" s="1" t="s">
        <v>342</v>
      </c>
      <c r="B275" s="17">
        <v>273</v>
      </c>
      <c r="C275" s="2">
        <v>273</v>
      </c>
      <c r="D275" s="5">
        <v>26888.930125495652</v>
      </c>
      <c r="E275" s="5">
        <v>6992.3200194778565</v>
      </c>
      <c r="F275" s="5">
        <v>2002.3532464810089</v>
      </c>
      <c r="G275" s="5">
        <v>1336.3457444510675</v>
      </c>
      <c r="H275" s="10">
        <v>158.54153784643745</v>
      </c>
      <c r="I275" s="31">
        <v>1.9461274499457417</v>
      </c>
    </row>
    <row r="276" spans="1:9">
      <c r="A276" s="1" t="s">
        <v>343</v>
      </c>
      <c r="B276" s="17">
        <v>274</v>
      </c>
      <c r="C276" s="2">
        <v>274</v>
      </c>
      <c r="D276" s="5">
        <v>28470.046720666549</v>
      </c>
      <c r="E276" s="5">
        <v>18540.278750658043</v>
      </c>
      <c r="F276" s="5">
        <v>798.52786932032564</v>
      </c>
      <c r="G276" s="5">
        <v>1358.8644973523731</v>
      </c>
      <c r="H276" s="10">
        <v>188.51339621291731</v>
      </c>
      <c r="I276" s="31">
        <v>2.2638747732338729</v>
      </c>
    </row>
    <row r="277" spans="1:9">
      <c r="A277" s="1" t="s">
        <v>344</v>
      </c>
      <c r="B277" s="17">
        <v>275</v>
      </c>
      <c r="C277" s="2">
        <v>275</v>
      </c>
      <c r="D277" s="5">
        <v>32886.04927301444</v>
      </c>
      <c r="E277" s="5">
        <v>24898.686292510145</v>
      </c>
      <c r="F277" s="5">
        <v>2433.3730174665943</v>
      </c>
      <c r="G277" s="5">
        <v>1423.8841849218477</v>
      </c>
      <c r="H277" s="10">
        <v>336.38205049978455</v>
      </c>
      <c r="I277" s="31">
        <v>1.7352504872809718</v>
      </c>
    </row>
    <row r="278" spans="1:9">
      <c r="A278" s="1" t="s">
        <v>345</v>
      </c>
      <c r="B278" s="17">
        <v>276</v>
      </c>
      <c r="C278" s="2">
        <v>276</v>
      </c>
      <c r="D278" s="5">
        <v>27378.540972546351</v>
      </c>
      <c r="E278" s="5">
        <v>17071.940135164652</v>
      </c>
      <c r="F278" s="5">
        <v>1929.8653818813293</v>
      </c>
      <c r="G278" s="5">
        <v>1250.6806911423371</v>
      </c>
      <c r="H278" s="10">
        <v>418.76001682489618</v>
      </c>
      <c r="I278" s="31">
        <v>1.5227978694651014</v>
      </c>
    </row>
    <row r="279" spans="1:9">
      <c r="A279" s="1" t="s">
        <v>346</v>
      </c>
      <c r="B279" s="17">
        <v>277</v>
      </c>
      <c r="C279" s="2">
        <v>277</v>
      </c>
      <c r="D279" s="5">
        <v>27313.108034911784</v>
      </c>
      <c r="E279" s="5">
        <v>10872.87477928322</v>
      </c>
      <c r="F279" s="5">
        <v>1737.0348836456217</v>
      </c>
      <c r="G279" s="5">
        <v>1146.4612376866387</v>
      </c>
      <c r="H279" s="10">
        <v>344.30858405598588</v>
      </c>
      <c r="I279" s="31">
        <v>2.7660496457514441</v>
      </c>
    </row>
    <row r="280" spans="1:9">
      <c r="A280" s="1" t="s">
        <v>347</v>
      </c>
      <c r="B280" s="17">
        <v>278</v>
      </c>
      <c r="C280" s="2">
        <v>278</v>
      </c>
      <c r="D280" s="5">
        <v>29976.747905667569</v>
      </c>
      <c r="E280" s="5">
        <v>9836.3884344933558</v>
      </c>
      <c r="F280" s="5">
        <v>1369.2994593119622</v>
      </c>
      <c r="G280" s="5">
        <v>1618.885472566875</v>
      </c>
      <c r="H280" s="10">
        <v>440.1408828176925</v>
      </c>
      <c r="I280" s="31">
        <v>2.2867928591307631</v>
      </c>
    </row>
    <row r="281" spans="1:9">
      <c r="A281" s="1" t="s">
        <v>348</v>
      </c>
      <c r="B281" s="17">
        <v>279</v>
      </c>
      <c r="C281" s="2">
        <v>279</v>
      </c>
      <c r="D281" s="5">
        <v>30227.438831519838</v>
      </c>
      <c r="E281" s="5">
        <v>10514.261917436952</v>
      </c>
      <c r="F281" s="5">
        <v>2696.6887866555153</v>
      </c>
      <c r="G281" s="5">
        <v>1573.3710151770754</v>
      </c>
      <c r="H281" s="10">
        <v>141.08922298659922</v>
      </c>
      <c r="I281" s="31">
        <v>2.4062251678600646</v>
      </c>
    </row>
    <row r="282" spans="1:9">
      <c r="A282" s="1" t="s">
        <v>349</v>
      </c>
      <c r="B282" s="17">
        <v>280</v>
      </c>
      <c r="C282" s="2">
        <v>280</v>
      </c>
      <c r="D282" s="5">
        <v>30978.315624646573</v>
      </c>
      <c r="E282" s="5">
        <v>11243.337926192053</v>
      </c>
      <c r="F282" s="5">
        <v>1202.202545228731</v>
      </c>
      <c r="G282" s="5">
        <v>1310.3107028509146</v>
      </c>
      <c r="H282" s="10">
        <v>461.03518199710993</v>
      </c>
      <c r="I282" s="31">
        <v>2.0671861896875257</v>
      </c>
    </row>
    <row r="283" spans="1:9">
      <c r="A283" s="1" t="s">
        <v>350</v>
      </c>
      <c r="B283" s="17">
        <v>281</v>
      </c>
      <c r="C283" s="2">
        <v>281</v>
      </c>
      <c r="D283" s="5">
        <v>22805.870754514304</v>
      </c>
      <c r="E283" s="5">
        <v>26221.865886743042</v>
      </c>
      <c r="F283" s="5">
        <v>1826.3393052810827</v>
      </c>
      <c r="G283" s="5">
        <v>1233.9978342724169</v>
      </c>
      <c r="H283" s="10">
        <v>438.65762777809027</v>
      </c>
      <c r="I283" s="31">
        <v>2.7060678534593521</v>
      </c>
    </row>
    <row r="284" spans="1:9">
      <c r="A284" s="1" t="s">
        <v>351</v>
      </c>
      <c r="B284" s="17">
        <v>282</v>
      </c>
      <c r="C284" s="2">
        <v>282</v>
      </c>
      <c r="D284" s="5">
        <v>19942.388180148871</v>
      </c>
      <c r="E284" s="5">
        <v>13556.411332651178</v>
      </c>
      <c r="F284" s="5">
        <v>1789.0216007989623</v>
      </c>
      <c r="G284" s="5">
        <v>871.61542705591614</v>
      </c>
      <c r="H284" s="10">
        <v>343.51553355886313</v>
      </c>
      <c r="I284" s="31">
        <v>2.1223228958382592</v>
      </c>
    </row>
    <row r="285" spans="1:9">
      <c r="A285" s="1" t="s">
        <v>352</v>
      </c>
      <c r="B285" s="17">
        <v>283</v>
      </c>
      <c r="C285" s="2">
        <v>283</v>
      </c>
      <c r="D285" s="5">
        <v>23432.78690879183</v>
      </c>
      <c r="E285" s="5">
        <v>3991.1400603858146</v>
      </c>
      <c r="F285" s="5">
        <v>1601.5423420148111</v>
      </c>
      <c r="G285" s="5">
        <v>1125.824476744059</v>
      </c>
      <c r="H285" s="10">
        <v>316.38611278835629</v>
      </c>
      <c r="I285" s="31">
        <v>1.8580692787230859</v>
      </c>
    </row>
    <row r="286" spans="1:9">
      <c r="A286" s="1" t="s">
        <v>353</v>
      </c>
      <c r="B286" s="17">
        <v>284</v>
      </c>
      <c r="C286" s="2">
        <v>284</v>
      </c>
      <c r="D286" s="5">
        <v>26062.517473627711</v>
      </c>
      <c r="E286" s="5">
        <v>18050.336847294886</v>
      </c>
      <c r="F286" s="5">
        <v>1913.9850359541854</v>
      </c>
      <c r="G286" s="5">
        <v>1181.2664109847208</v>
      </c>
      <c r="H286" s="10">
        <v>382.17191797016017</v>
      </c>
      <c r="I286" s="31">
        <v>2.1051991374491976</v>
      </c>
    </row>
    <row r="287" spans="1:9">
      <c r="A287" s="1" t="s">
        <v>354</v>
      </c>
      <c r="B287" s="17">
        <v>285</v>
      </c>
      <c r="C287" s="2">
        <v>285</v>
      </c>
      <c r="D287" s="5">
        <v>20666.361618253948</v>
      </c>
      <c r="E287" s="5">
        <v>18111.335608758109</v>
      </c>
      <c r="F287" s="5">
        <v>1623.8317834185111</v>
      </c>
      <c r="G287" s="5">
        <v>1533.6549614902867</v>
      </c>
      <c r="H287" s="10">
        <v>245.69656866665059</v>
      </c>
      <c r="I287" s="31">
        <v>0.9700486355626694</v>
      </c>
    </row>
    <row r="288" spans="1:9">
      <c r="A288" s="1" t="s">
        <v>355</v>
      </c>
      <c r="B288" s="17">
        <v>286</v>
      </c>
      <c r="C288" s="2">
        <v>286</v>
      </c>
      <c r="D288" s="5">
        <v>31244.302561893935</v>
      </c>
      <c r="E288" s="5">
        <v>10045.157927101454</v>
      </c>
      <c r="F288" s="5">
        <v>1179.5879594691471</v>
      </c>
      <c r="G288" s="5">
        <v>1230.2572062316574</v>
      </c>
      <c r="H288" s="10">
        <v>200.54541428875996</v>
      </c>
      <c r="I288" s="31">
        <v>2.1707855158723746</v>
      </c>
    </row>
    <row r="289" spans="1:9">
      <c r="A289" s="1" t="s">
        <v>356</v>
      </c>
      <c r="B289" s="17">
        <v>287</v>
      </c>
      <c r="C289" s="2">
        <v>287</v>
      </c>
      <c r="D289" s="5">
        <v>30633.318179155911</v>
      </c>
      <c r="E289" s="5">
        <v>24959.508461490084</v>
      </c>
      <c r="F289" s="5">
        <v>3032.4833254970981</v>
      </c>
      <c r="G289" s="5">
        <v>110.379949955201</v>
      </c>
      <c r="H289" s="10">
        <v>112.18992056787715</v>
      </c>
      <c r="I289" s="31">
        <v>2.018389517933791</v>
      </c>
    </row>
    <row r="290" spans="1:9">
      <c r="A290" s="1" t="s">
        <v>357</v>
      </c>
      <c r="B290" s="17">
        <v>288</v>
      </c>
      <c r="C290" s="2">
        <v>288</v>
      </c>
      <c r="D290" s="5">
        <v>28756.982269404805</v>
      </c>
      <c r="E290" s="5">
        <v>15970.802352809924</v>
      </c>
      <c r="F290" s="5">
        <v>1899.8475092493138</v>
      </c>
      <c r="G290" s="5">
        <v>1454.9653251441885</v>
      </c>
      <c r="H290" s="10">
        <v>265.40327780789698</v>
      </c>
      <c r="I290" s="31">
        <v>2.2228911703399703</v>
      </c>
    </row>
    <row r="291" spans="1:9">
      <c r="A291" s="1" t="s">
        <v>358</v>
      </c>
      <c r="B291" s="17">
        <v>289</v>
      </c>
      <c r="C291" s="2">
        <v>289</v>
      </c>
      <c r="D291" s="5">
        <v>26499.719024021804</v>
      </c>
      <c r="E291" s="5">
        <v>7379.4107428391817</v>
      </c>
      <c r="F291" s="5">
        <v>1471.0685058352212</v>
      </c>
      <c r="G291" s="5">
        <v>1553.6598845055084</v>
      </c>
      <c r="H291" s="10">
        <v>404.9808500282295</v>
      </c>
      <c r="I291" s="31">
        <v>2.0922261721074378</v>
      </c>
    </row>
    <row r="292" spans="1:9">
      <c r="A292" s="1" t="s">
        <v>359</v>
      </c>
      <c r="B292" s="17">
        <v>290</v>
      </c>
      <c r="C292" s="2">
        <v>290</v>
      </c>
      <c r="D292" s="5">
        <v>30572.159312195115</v>
      </c>
      <c r="E292" s="5">
        <v>19904.306974577194</v>
      </c>
      <c r="F292" s="5">
        <v>1762.9367243179261</v>
      </c>
      <c r="G292" s="5">
        <v>757.15196315734261</v>
      </c>
      <c r="H292" s="10">
        <v>294.2130179705116</v>
      </c>
      <c r="I292" s="31">
        <v>2.5502479590153584</v>
      </c>
    </row>
    <row r="293" spans="1:9">
      <c r="A293" s="1" t="s">
        <v>360</v>
      </c>
      <c r="B293" s="17">
        <v>291</v>
      </c>
      <c r="C293" s="2">
        <v>291</v>
      </c>
      <c r="D293" s="5">
        <v>14952.955156167125</v>
      </c>
      <c r="E293" s="5">
        <v>21524.598774766957</v>
      </c>
      <c r="F293" s="5">
        <v>945.51130807384857</v>
      </c>
      <c r="G293" s="5">
        <v>2026.4959203695287</v>
      </c>
      <c r="H293" s="10">
        <v>417.7777078599745</v>
      </c>
      <c r="I293" s="31">
        <v>2.3302233240605332</v>
      </c>
    </row>
    <row r="294" spans="1:9">
      <c r="A294" s="1" t="s">
        <v>361</v>
      </c>
      <c r="B294" s="17">
        <v>292</v>
      </c>
      <c r="C294" s="2">
        <v>292</v>
      </c>
      <c r="D294" s="5">
        <v>15874.517811429403</v>
      </c>
      <c r="E294" s="5">
        <v>18512.27490054549</v>
      </c>
      <c r="F294" s="5">
        <v>1899.2336003256171</v>
      </c>
      <c r="G294" s="5">
        <v>332.0639440488992</v>
      </c>
      <c r="H294" s="10">
        <v>330.13501466361663</v>
      </c>
      <c r="I294" s="31">
        <v>2.1024583099000651</v>
      </c>
    </row>
    <row r="295" spans="1:9">
      <c r="A295" s="1" t="s">
        <v>362</v>
      </c>
      <c r="B295" s="17">
        <v>293</v>
      </c>
      <c r="C295" s="2">
        <v>293</v>
      </c>
      <c r="D295" s="5">
        <v>23978.558666816614</v>
      </c>
      <c r="E295" s="5">
        <v>1066.917246641251</v>
      </c>
      <c r="F295" s="5">
        <v>1182.3369072052558</v>
      </c>
      <c r="G295" s="5">
        <v>1067.3321420817263</v>
      </c>
      <c r="H295" s="10">
        <v>330.0888640821056</v>
      </c>
      <c r="I295" s="31">
        <v>2.0806380515745317</v>
      </c>
    </row>
    <row r="296" spans="1:9">
      <c r="A296" s="1" t="s">
        <v>363</v>
      </c>
      <c r="B296" s="17">
        <v>294</v>
      </c>
      <c r="C296" s="2">
        <v>294</v>
      </c>
      <c r="D296" s="5">
        <v>13409.077739355642</v>
      </c>
      <c r="E296" s="5">
        <v>15331.909336966246</v>
      </c>
      <c r="F296" s="5">
        <v>1738.0694338688884</v>
      </c>
      <c r="G296" s="5">
        <v>1262.900117050707</v>
      </c>
      <c r="H296" s="10">
        <v>464.46128065658445</v>
      </c>
      <c r="I296" s="31">
        <v>2.4382481674268988</v>
      </c>
    </row>
    <row r="297" spans="1:9">
      <c r="A297" s="1" t="s">
        <v>364</v>
      </c>
      <c r="B297" s="17">
        <v>295</v>
      </c>
      <c r="C297" s="2">
        <v>295</v>
      </c>
      <c r="D297" s="5">
        <v>23229.331073272395</v>
      </c>
      <c r="E297" s="5">
        <v>12144.229126842502</v>
      </c>
      <c r="F297" s="5">
        <v>1488.4569076647424</v>
      </c>
      <c r="G297" s="5">
        <v>757.88705864481358</v>
      </c>
      <c r="H297" s="10">
        <v>274.4775503066619</v>
      </c>
      <c r="I297" s="31">
        <v>1.7406931251383853</v>
      </c>
    </row>
    <row r="298" spans="1:9">
      <c r="A298" s="1" t="s">
        <v>365</v>
      </c>
      <c r="B298" s="17">
        <v>296</v>
      </c>
      <c r="C298" s="2">
        <v>296</v>
      </c>
      <c r="D298" s="5">
        <v>21369.449391417082</v>
      </c>
      <c r="E298" s="5">
        <v>11616.329133914232</v>
      </c>
      <c r="F298" s="5">
        <v>1932.5427069096734</v>
      </c>
      <c r="G298" s="5">
        <v>1352.8183984307577</v>
      </c>
      <c r="H298" s="10">
        <v>341.5059975556203</v>
      </c>
      <c r="I298" s="31">
        <v>2.332911237817278</v>
      </c>
    </row>
    <row r="299" spans="1:9">
      <c r="A299" s="1" t="s">
        <v>366</v>
      </c>
      <c r="B299" s="17">
        <v>297</v>
      </c>
      <c r="C299" s="2">
        <v>297</v>
      </c>
      <c r="D299" s="5">
        <v>23059.33132852042</v>
      </c>
      <c r="E299" s="5">
        <v>15951.414357013446</v>
      </c>
      <c r="F299" s="5">
        <v>2817.0285781206003</v>
      </c>
      <c r="G299" s="5">
        <v>1156.7021749878438</v>
      </c>
      <c r="H299" s="10">
        <v>442.20903142890779</v>
      </c>
      <c r="I299" s="31">
        <v>1.6689906605910423</v>
      </c>
    </row>
    <row r="300" spans="1:9">
      <c r="A300" s="1" t="s">
        <v>367</v>
      </c>
      <c r="B300" s="17">
        <v>298</v>
      </c>
      <c r="C300" s="2">
        <v>298</v>
      </c>
      <c r="D300" s="5">
        <v>26889.42110857747</v>
      </c>
      <c r="E300" s="5">
        <v>22511.750756331647</v>
      </c>
      <c r="F300" s="5">
        <v>1528.7281961908704</v>
      </c>
      <c r="G300" s="5">
        <v>1163.5024228752843</v>
      </c>
      <c r="H300" s="10">
        <v>499.45821153928296</v>
      </c>
      <c r="I300" s="31">
        <v>1.7631964524201962</v>
      </c>
    </row>
    <row r="301" spans="1:9">
      <c r="A301" s="1" t="s">
        <v>368</v>
      </c>
      <c r="B301" s="17">
        <v>299</v>
      </c>
      <c r="C301" s="2">
        <v>299</v>
      </c>
      <c r="D301" s="5">
        <v>18377.91465252062</v>
      </c>
      <c r="E301" s="5">
        <v>24567.677624103737</v>
      </c>
      <c r="F301" s="5">
        <v>1996.9929120824347</v>
      </c>
      <c r="G301" s="5">
        <v>1091.3260029846458</v>
      </c>
      <c r="H301" s="10">
        <v>417.62980688658604</v>
      </c>
      <c r="I301" s="31">
        <v>1.987541311454514</v>
      </c>
    </row>
    <row r="302" spans="1:9">
      <c r="A302" s="1" t="s">
        <v>369</v>
      </c>
      <c r="B302" s="17">
        <v>300</v>
      </c>
      <c r="C302" s="2">
        <v>300</v>
      </c>
      <c r="D302" s="5">
        <v>21138.435556766897</v>
      </c>
      <c r="E302" s="5">
        <v>15136.040389979198</v>
      </c>
      <c r="F302" s="5">
        <v>2357.583687099479</v>
      </c>
      <c r="G302" s="5">
        <v>470.66509188054965</v>
      </c>
      <c r="H302" s="10">
        <v>501.32778939918967</v>
      </c>
      <c r="I302" s="31">
        <v>2.2564951698854188</v>
      </c>
    </row>
    <row r="303" spans="1:9">
      <c r="A303" s="1" t="s">
        <v>370</v>
      </c>
      <c r="B303" s="17">
        <v>301</v>
      </c>
      <c r="C303" s="2">
        <v>301</v>
      </c>
      <c r="D303" s="5">
        <v>17459.776289521276</v>
      </c>
      <c r="E303" s="5">
        <v>24352.030318988735</v>
      </c>
      <c r="F303" s="5">
        <v>1447.0908148913552</v>
      </c>
      <c r="G303" s="5">
        <v>1218.2664220635377</v>
      </c>
      <c r="H303" s="10">
        <v>354.23260242500578</v>
      </c>
      <c r="I303" s="31">
        <v>2.5225157869766903</v>
      </c>
    </row>
    <row r="304" spans="1:9">
      <c r="A304" s="1" t="s">
        <v>371</v>
      </c>
      <c r="B304" s="17">
        <v>302</v>
      </c>
      <c r="C304" s="2">
        <v>302</v>
      </c>
      <c r="D304" s="5">
        <v>13951.727348552457</v>
      </c>
      <c r="E304" s="5">
        <v>22129.362969630449</v>
      </c>
      <c r="F304" s="5">
        <v>1792.8107831002237</v>
      </c>
      <c r="G304" s="5">
        <v>1720.2647284911325</v>
      </c>
      <c r="H304" s="10">
        <v>251.85828755242869</v>
      </c>
      <c r="I304" s="31">
        <v>0.91108449842922568</v>
      </c>
    </row>
    <row r="305" spans="1:9">
      <c r="A305" s="1" t="s">
        <v>372</v>
      </c>
      <c r="B305" s="17">
        <v>303</v>
      </c>
      <c r="C305" s="2">
        <v>303</v>
      </c>
      <c r="D305" s="5">
        <v>21962.682847350923</v>
      </c>
      <c r="E305" s="5">
        <v>6174.1577500759468</v>
      </c>
      <c r="F305" s="5">
        <v>1615.0960868079821</v>
      </c>
      <c r="G305" s="5">
        <v>1718.2708741756176</v>
      </c>
      <c r="H305" s="10">
        <v>432.70694167008219</v>
      </c>
      <c r="I305" s="31">
        <v>1.4483091463347577</v>
      </c>
    </row>
    <row r="306" spans="1:9">
      <c r="A306" s="1" t="s">
        <v>373</v>
      </c>
      <c r="B306" s="17">
        <v>304</v>
      </c>
      <c r="C306" s="2">
        <v>304</v>
      </c>
      <c r="D306" s="5">
        <v>22768.902246315381</v>
      </c>
      <c r="E306" s="5">
        <v>28658.061431416907</v>
      </c>
      <c r="F306" s="5">
        <v>1134.472474787701</v>
      </c>
      <c r="G306" s="5">
        <v>1691.9856788435243</v>
      </c>
      <c r="H306" s="10">
        <v>379.7266218768043</v>
      </c>
      <c r="I306" s="31">
        <v>1.8266587963893457</v>
      </c>
    </row>
    <row r="307" spans="1:9">
      <c r="A307" s="1" t="s">
        <v>374</v>
      </c>
      <c r="B307" s="17">
        <v>305</v>
      </c>
      <c r="C307" s="2">
        <v>305</v>
      </c>
      <c r="D307" s="5">
        <v>28206.993092600303</v>
      </c>
      <c r="E307" s="5">
        <v>21124.217143453105</v>
      </c>
      <c r="F307" s="5">
        <v>2366.5524417273373</v>
      </c>
      <c r="G307" s="5">
        <v>966.61975789986514</v>
      </c>
      <c r="H307" s="10">
        <v>247.32128824839197</v>
      </c>
      <c r="I307" s="31">
        <v>2.6080266134062171</v>
      </c>
    </row>
    <row r="308" spans="1:9">
      <c r="A308" s="1" t="s">
        <v>375</v>
      </c>
      <c r="B308" s="17">
        <v>306</v>
      </c>
      <c r="C308" s="2">
        <v>306</v>
      </c>
      <c r="D308" s="5">
        <v>23411.995663673311</v>
      </c>
      <c r="E308" s="5">
        <v>16478.719512103278</v>
      </c>
      <c r="F308" s="5">
        <v>1982.2960461359728</v>
      </c>
      <c r="G308" s="5">
        <v>1511.4545860659962</v>
      </c>
      <c r="H308" s="10">
        <v>392.83530426077664</v>
      </c>
      <c r="I308" s="31">
        <v>1.7463655905788968</v>
      </c>
    </row>
    <row r="309" spans="1:9">
      <c r="A309" s="1" t="s">
        <v>376</v>
      </c>
      <c r="B309" s="17">
        <v>307</v>
      </c>
      <c r="C309" s="2">
        <v>307</v>
      </c>
      <c r="D309" s="5">
        <v>24685.725376351773</v>
      </c>
      <c r="E309" s="5">
        <v>11567.942793494067</v>
      </c>
      <c r="F309" s="5">
        <v>2259.7084147681853</v>
      </c>
      <c r="G309" s="5">
        <v>1275.6862302830302</v>
      </c>
      <c r="H309" s="10">
        <v>240.83281776770195</v>
      </c>
      <c r="I309" s="31">
        <v>1.8465843133611983</v>
      </c>
    </row>
    <row r="310" spans="1:9">
      <c r="A310" s="1" t="s">
        <v>377</v>
      </c>
      <c r="B310" s="17">
        <v>308</v>
      </c>
      <c r="C310" s="2">
        <v>308</v>
      </c>
      <c r="D310" s="5">
        <v>8112.6543961398474</v>
      </c>
      <c r="E310" s="5">
        <v>10678.009621148531</v>
      </c>
      <c r="F310" s="5">
        <v>1772.7297085192661</v>
      </c>
      <c r="G310" s="5">
        <v>1342.4545354627514</v>
      </c>
      <c r="H310" s="10">
        <v>441.97019874595458</v>
      </c>
      <c r="I310" s="31">
        <v>2.3230815655364481</v>
      </c>
    </row>
    <row r="311" spans="1:9">
      <c r="A311" s="1" t="s">
        <v>378</v>
      </c>
      <c r="B311" s="17">
        <v>309</v>
      </c>
      <c r="C311" s="2">
        <v>309</v>
      </c>
      <c r="D311" s="5">
        <v>25033.328808969007</v>
      </c>
      <c r="E311" s="5">
        <v>32931.227753271567</v>
      </c>
      <c r="F311" s="5">
        <v>2658.2967415569256</v>
      </c>
      <c r="G311" s="5">
        <v>1731.5984749702</v>
      </c>
      <c r="H311" s="10">
        <v>296.6848814609391</v>
      </c>
      <c r="I311" s="31">
        <v>2.3691865821541782</v>
      </c>
    </row>
    <row r="312" spans="1:9">
      <c r="A312" s="1" t="s">
        <v>379</v>
      </c>
      <c r="B312" s="17">
        <v>310</v>
      </c>
      <c r="C312" s="2">
        <v>310</v>
      </c>
      <c r="D312" s="5">
        <v>24830.464671009711</v>
      </c>
      <c r="E312" s="5">
        <v>1362.2170560591348</v>
      </c>
      <c r="F312" s="5">
        <v>2565.8591106738568</v>
      </c>
      <c r="G312" s="5">
        <v>931.33148673125447</v>
      </c>
      <c r="H312" s="10">
        <v>271.29055822083205</v>
      </c>
      <c r="I312" s="31">
        <v>2.1204773268977064</v>
      </c>
    </row>
    <row r="313" spans="1:9">
      <c r="A313" s="1" t="s">
        <v>380</v>
      </c>
      <c r="B313" s="17">
        <v>311</v>
      </c>
      <c r="C313" s="2">
        <v>311</v>
      </c>
      <c r="D313" s="5">
        <v>24357.994169238373</v>
      </c>
      <c r="E313" s="5">
        <v>11815.525455060024</v>
      </c>
      <c r="F313" s="5">
        <v>2179.4318649161978</v>
      </c>
      <c r="G313" s="5">
        <v>1194.471086112502</v>
      </c>
      <c r="H313" s="10">
        <v>270.70607548525618</v>
      </c>
      <c r="I313" s="31">
        <v>2.0071215525689681</v>
      </c>
    </row>
    <row r="314" spans="1:9">
      <c r="A314" s="1" t="s">
        <v>381</v>
      </c>
      <c r="B314" s="17">
        <v>312</v>
      </c>
      <c r="C314" s="2">
        <v>312</v>
      </c>
      <c r="D314" s="5">
        <v>28555.37706242453</v>
      </c>
      <c r="E314" s="5">
        <v>10641.027437412104</v>
      </c>
      <c r="F314" s="5">
        <v>2646.6461144272143</v>
      </c>
      <c r="G314" s="5">
        <v>408.47699704583988</v>
      </c>
      <c r="H314" s="10">
        <v>421.82060835661719</v>
      </c>
      <c r="I314" s="31">
        <v>1.6477428332922486</v>
      </c>
    </row>
    <row r="315" spans="1:9">
      <c r="A315" s="1" t="s">
        <v>382</v>
      </c>
      <c r="B315" s="17">
        <v>313</v>
      </c>
      <c r="C315" s="2">
        <v>313</v>
      </c>
      <c r="D315" s="5">
        <v>19667.500600879837</v>
      </c>
      <c r="E315" s="5">
        <v>19105.300342441122</v>
      </c>
      <c r="F315" s="5">
        <v>2272.0769742781085</v>
      </c>
      <c r="G315" s="5">
        <v>1666.7306005992248</v>
      </c>
      <c r="H315" s="10">
        <v>197.0138677130733</v>
      </c>
      <c r="I315" s="31">
        <v>2.6705076470438129</v>
      </c>
    </row>
    <row r="316" spans="1:9">
      <c r="A316" s="1" t="s">
        <v>383</v>
      </c>
      <c r="B316" s="17">
        <v>314</v>
      </c>
      <c r="C316" s="2">
        <v>314</v>
      </c>
      <c r="D316" s="5">
        <v>26952.355068218683</v>
      </c>
      <c r="E316" s="5">
        <v>25038.733426096594</v>
      </c>
      <c r="F316" s="5">
        <v>1288.8637478871644</v>
      </c>
      <c r="G316" s="5">
        <v>1132.9000781251341</v>
      </c>
      <c r="H316" s="10">
        <v>408.05979223627833</v>
      </c>
      <c r="I316" s="31">
        <v>2.2411405494034611</v>
      </c>
    </row>
    <row r="317" spans="1:9">
      <c r="A317" s="1" t="s">
        <v>384</v>
      </c>
      <c r="B317" s="17">
        <v>315</v>
      </c>
      <c r="C317" s="2">
        <v>315</v>
      </c>
      <c r="D317" s="5">
        <v>20638.148975014108</v>
      </c>
      <c r="E317" s="5">
        <v>6099.4312466225983</v>
      </c>
      <c r="F317" s="5">
        <v>2315.8435646299877</v>
      </c>
      <c r="G317" s="5">
        <v>1158.0211673926203</v>
      </c>
      <c r="H317" s="10">
        <v>281.70360841945399</v>
      </c>
      <c r="I317" s="31">
        <v>1.7445868319822679</v>
      </c>
    </row>
    <row r="318" spans="1:9">
      <c r="A318" s="1" t="s">
        <v>385</v>
      </c>
      <c r="B318" s="17">
        <v>316</v>
      </c>
      <c r="C318" s="2">
        <v>316</v>
      </c>
      <c r="D318" s="5">
        <v>15366.765768971025</v>
      </c>
      <c r="E318" s="5">
        <v>24792.582093079371</v>
      </c>
      <c r="F318" s="5">
        <v>1849.8878284125497</v>
      </c>
      <c r="G318" s="5">
        <v>1532.4613532656474</v>
      </c>
      <c r="H318" s="10">
        <v>316.12317772455458</v>
      </c>
      <c r="I318" s="31">
        <v>2.9465359191721276</v>
      </c>
    </row>
    <row r="319" spans="1:9">
      <c r="A319" s="1" t="s">
        <v>386</v>
      </c>
      <c r="B319" s="17">
        <v>317</v>
      </c>
      <c r="C319" s="2">
        <v>317</v>
      </c>
      <c r="D319" s="5">
        <v>13871.860767243423</v>
      </c>
      <c r="E319" s="5">
        <v>31752.779640602792</v>
      </c>
      <c r="F319" s="5">
        <v>1679.2313794402546</v>
      </c>
      <c r="G319" s="5">
        <v>975.20365721259054</v>
      </c>
      <c r="H319" s="10">
        <v>377.88908922779842</v>
      </c>
      <c r="I319" s="31">
        <v>2.2233839634367527</v>
      </c>
    </row>
    <row r="320" spans="1:9">
      <c r="A320" s="1" t="s">
        <v>387</v>
      </c>
      <c r="B320" s="17">
        <v>318</v>
      </c>
      <c r="C320" s="2">
        <v>318</v>
      </c>
      <c r="D320" s="5">
        <v>22897.690885469136</v>
      </c>
      <c r="E320" s="5">
        <v>18107.478457149511</v>
      </c>
      <c r="F320" s="5">
        <v>2703.5827564949541</v>
      </c>
      <c r="G320" s="5">
        <v>1373.0372121062135</v>
      </c>
      <c r="H320" s="10">
        <v>237.30127119201529</v>
      </c>
      <c r="I320" s="31">
        <v>1.9240201743827114</v>
      </c>
    </row>
    <row r="321" spans="1:9">
      <c r="A321" s="1" t="s">
        <v>388</v>
      </c>
      <c r="B321" s="17">
        <v>319</v>
      </c>
      <c r="C321" s="2">
        <v>319</v>
      </c>
      <c r="D321" s="5">
        <v>15814.76894716511</v>
      </c>
      <c r="E321" s="5">
        <v>9344.6620176148917</v>
      </c>
      <c r="F321" s="5">
        <v>1924.6244186623628</v>
      </c>
      <c r="G321" s="5">
        <v>1901.6894908663051</v>
      </c>
      <c r="H321" s="10">
        <v>233.11019583129269</v>
      </c>
      <c r="I321" s="31">
        <v>2.4188485814824148</v>
      </c>
    </row>
    <row r="322" spans="1:9">
      <c r="A322" s="1" t="s">
        <v>389</v>
      </c>
      <c r="B322" s="17">
        <v>320</v>
      </c>
      <c r="C322" s="2">
        <v>320</v>
      </c>
      <c r="D322" s="5">
        <v>27342.888047220502</v>
      </c>
      <c r="E322" s="5">
        <v>11288.359715088573</v>
      </c>
      <c r="F322" s="5">
        <v>1747.5048729655939</v>
      </c>
      <c r="G322" s="5">
        <v>1441.8165811948018</v>
      </c>
      <c r="H322" s="10">
        <v>465.55684342242489</v>
      </c>
      <c r="I322" s="31">
        <v>2.2890767039274564</v>
      </c>
    </row>
    <row r="323" spans="1:9">
      <c r="A323" s="1" t="s">
        <v>390</v>
      </c>
      <c r="B323" s="17">
        <v>321</v>
      </c>
      <c r="C323" s="2">
        <v>321</v>
      </c>
      <c r="D323" s="5">
        <v>19085.396094800533</v>
      </c>
      <c r="E323" s="5">
        <v>27767.700719374996</v>
      </c>
      <c r="F323" s="5">
        <v>1061.0807998281346</v>
      </c>
      <c r="G323" s="5">
        <v>1308.3654041737861</v>
      </c>
      <c r="H323" s="10">
        <v>222.86723175206748</v>
      </c>
      <c r="I323" s="31">
        <v>1.5665281792184018</v>
      </c>
    </row>
    <row r="324" spans="1:9">
      <c r="A324" s="1" t="s">
        <v>391</v>
      </c>
      <c r="B324" s="17">
        <v>322</v>
      </c>
      <c r="C324" s="2">
        <v>322</v>
      </c>
      <c r="D324" s="5">
        <v>22371.180771423358</v>
      </c>
      <c r="E324" s="5">
        <v>8924.8738018221138</v>
      </c>
      <c r="F324" s="5">
        <v>1386.4741298865667</v>
      </c>
      <c r="G324" s="5">
        <v>1358.1970109816427</v>
      </c>
      <c r="H324" s="10">
        <v>227.78548689861668</v>
      </c>
      <c r="I324" s="31">
        <v>1.8810247784125735</v>
      </c>
    </row>
    <row r="325" spans="1:9">
      <c r="A325" s="1" t="s">
        <v>392</v>
      </c>
      <c r="B325" s="17">
        <v>323</v>
      </c>
      <c r="C325" s="2">
        <v>323</v>
      </c>
      <c r="D325" s="5">
        <v>27205.828231534586</v>
      </c>
      <c r="E325" s="5">
        <v>24445.085263338849</v>
      </c>
      <c r="F325" s="5">
        <v>2765.0236710732242</v>
      </c>
      <c r="G325" s="5">
        <v>1068.6333102648166</v>
      </c>
      <c r="H325" s="10">
        <v>229.65396919575755</v>
      </c>
      <c r="I325" s="31">
        <v>0.93632063601889826</v>
      </c>
    </row>
    <row r="326" spans="1:9">
      <c r="A326" s="1" t="s">
        <v>393</v>
      </c>
      <c r="B326" s="17">
        <v>324</v>
      </c>
      <c r="C326" s="2">
        <v>324</v>
      </c>
      <c r="D326" s="5">
        <v>22726.287432675552</v>
      </c>
      <c r="E326" s="5">
        <v>22762.419139184487</v>
      </c>
      <c r="F326" s="5">
        <v>2973.2752204116805</v>
      </c>
      <c r="G326" s="5">
        <v>1085.4870338115904</v>
      </c>
      <c r="H326" s="10">
        <v>481.65750771990747</v>
      </c>
      <c r="I326" s="31">
        <v>2.1798968433353352</v>
      </c>
    </row>
    <row r="327" spans="1:9">
      <c r="A327" s="1" t="s">
        <v>394</v>
      </c>
      <c r="B327" s="17">
        <v>325</v>
      </c>
      <c r="C327" s="2">
        <v>325</v>
      </c>
      <c r="D327" s="5">
        <v>20366.710866627589</v>
      </c>
      <c r="E327" s="5">
        <v>26110.129316529594</v>
      </c>
      <c r="F327" s="5">
        <v>2076.5975727234872</v>
      </c>
      <c r="G327" s="5">
        <v>1167.4889022496461</v>
      </c>
      <c r="H327" s="10">
        <v>399.43689159703968</v>
      </c>
      <c r="I327" s="31">
        <v>2.0188235179279204</v>
      </c>
    </row>
    <row r="328" spans="1:9">
      <c r="A328" s="1" t="s">
        <v>395</v>
      </c>
      <c r="B328" s="17">
        <v>326</v>
      </c>
      <c r="C328" s="2">
        <v>326</v>
      </c>
      <c r="D328" s="5">
        <v>23765.434241378305</v>
      </c>
      <c r="E328" s="5">
        <v>10528.593791606736</v>
      </c>
      <c r="F328" s="5">
        <v>2097.260155479391</v>
      </c>
      <c r="G328" s="5">
        <v>1619.3353805073673</v>
      </c>
      <c r="H328" s="10">
        <v>489.03283625954532</v>
      </c>
      <c r="I328" s="31">
        <v>2.0304934143217892</v>
      </c>
    </row>
    <row r="329" spans="1:9">
      <c r="A329" s="1" t="s">
        <v>396</v>
      </c>
      <c r="B329" s="17">
        <v>327</v>
      </c>
      <c r="C329" s="2">
        <v>327</v>
      </c>
      <c r="D329" s="5">
        <v>22780.08155340908</v>
      </c>
      <c r="E329" s="5">
        <v>13029.998434318995</v>
      </c>
      <c r="F329" s="5">
        <v>1471.1856032780745</v>
      </c>
      <c r="G329" s="5">
        <v>1279.3260592770127</v>
      </c>
      <c r="H329" s="10">
        <v>445.44395438574315</v>
      </c>
      <c r="I329" s="31">
        <v>2.3925178232178936</v>
      </c>
    </row>
    <row r="330" spans="1:9">
      <c r="A330" s="1" t="s">
        <v>397</v>
      </c>
      <c r="B330" s="17">
        <v>328</v>
      </c>
      <c r="C330" s="2">
        <v>328</v>
      </c>
      <c r="D330" s="5">
        <v>24526.653152497693</v>
      </c>
      <c r="E330" s="5">
        <v>18634.913733016503</v>
      </c>
      <c r="F330" s="5">
        <v>1665.2569933475136</v>
      </c>
      <c r="G330" s="5">
        <v>2311.0639219875557</v>
      </c>
      <c r="H330" s="10">
        <v>414.72725028383752</v>
      </c>
      <c r="I330" s="31">
        <v>1.3739679404437979</v>
      </c>
    </row>
    <row r="331" spans="1:9">
      <c r="A331" s="1" t="s">
        <v>398</v>
      </c>
      <c r="B331" s="17">
        <v>329</v>
      </c>
      <c r="C331" s="2">
        <v>329</v>
      </c>
      <c r="D331" s="5">
        <v>25283.69241276673</v>
      </c>
      <c r="E331" s="5">
        <v>10321.497280419235</v>
      </c>
      <c r="F331" s="5">
        <v>1892.0582555628173</v>
      </c>
      <c r="G331" s="5">
        <v>2345.4486895051778</v>
      </c>
      <c r="H331" s="10">
        <v>399.23873168176829</v>
      </c>
      <c r="I331" s="31">
        <v>2.3343853412456141</v>
      </c>
    </row>
    <row r="332" spans="1:9">
      <c r="A332" s="1" t="s">
        <v>399</v>
      </c>
      <c r="B332" s="17">
        <v>330</v>
      </c>
      <c r="C332" s="2">
        <v>330</v>
      </c>
      <c r="D332" s="5">
        <v>18087.466686350897</v>
      </c>
      <c r="E332" s="5">
        <v>5260.8957812543031</v>
      </c>
      <c r="F332" s="5">
        <v>1811.2837573616091</v>
      </c>
      <c r="G332" s="5">
        <v>2212.8463142134242</v>
      </c>
      <c r="H332" s="10">
        <v>474.86693580653696</v>
      </c>
      <c r="I332" s="31">
        <v>1.5785412135386636</v>
      </c>
    </row>
    <row r="333" spans="1:9">
      <c r="A333" s="1" t="s">
        <v>400</v>
      </c>
      <c r="B333" s="17">
        <v>331</v>
      </c>
      <c r="C333" s="2">
        <v>331</v>
      </c>
      <c r="D333" s="5">
        <v>32137.086054975814</v>
      </c>
      <c r="E333" s="5">
        <v>29909.67459821314</v>
      </c>
      <c r="F333" s="5">
        <v>2163.1041612826193</v>
      </c>
      <c r="G333" s="5">
        <v>1499.2456088393044</v>
      </c>
      <c r="H333" s="10">
        <v>24.296206552796093</v>
      </c>
      <c r="I333" s="31">
        <v>2.5182442008275743</v>
      </c>
    </row>
    <row r="334" spans="1:9">
      <c r="A334" s="1" t="s">
        <v>401</v>
      </c>
      <c r="B334" s="17">
        <v>332</v>
      </c>
      <c r="C334" s="2">
        <v>332</v>
      </c>
      <c r="D334" s="5">
        <v>20437.330599895718</v>
      </c>
      <c r="E334" s="5">
        <v>27004.170587696819</v>
      </c>
      <c r="F334" s="5">
        <v>2377.7505952429165</v>
      </c>
      <c r="G334" s="5">
        <v>958.05552669382791</v>
      </c>
      <c r="H334" s="10">
        <v>380.96679892773568</v>
      </c>
      <c r="I334" s="31">
        <v>1.3731063542485558</v>
      </c>
    </row>
    <row r="335" spans="1:9">
      <c r="A335" s="1" t="s">
        <v>402</v>
      </c>
      <c r="B335" s="17">
        <v>333</v>
      </c>
      <c r="C335" s="2">
        <v>333</v>
      </c>
      <c r="D335" s="5">
        <v>31678.533035177541</v>
      </c>
      <c r="E335" s="5">
        <v>15391.644068022797</v>
      </c>
      <c r="F335" s="5">
        <v>1824.026915001825</v>
      </c>
      <c r="G335" s="5">
        <v>1966.6679983374013</v>
      </c>
      <c r="H335" s="10">
        <v>590.44579480509742</v>
      </c>
      <c r="I335" s="31">
        <v>1.7758503315593757</v>
      </c>
    </row>
    <row r="336" spans="1:9">
      <c r="A336" s="1" t="s">
        <v>403</v>
      </c>
      <c r="B336" s="17">
        <v>334</v>
      </c>
      <c r="C336" s="2">
        <v>334</v>
      </c>
      <c r="D336" s="5">
        <v>20811.598190648598</v>
      </c>
      <c r="E336" s="5">
        <v>28512.251806270622</v>
      </c>
      <c r="F336" s="5">
        <v>1865.2213406502526</v>
      </c>
      <c r="G336" s="5">
        <v>960.93567506697923</v>
      </c>
      <c r="H336" s="10">
        <v>401.77564421141756</v>
      </c>
      <c r="I336" s="31">
        <v>1.5287659038671322</v>
      </c>
    </row>
    <row r="337" spans="1:9">
      <c r="A337" s="1" t="s">
        <v>404</v>
      </c>
      <c r="B337" s="17">
        <v>335</v>
      </c>
      <c r="C337" s="2">
        <v>335</v>
      </c>
      <c r="D337" s="5">
        <v>27149.856160207353</v>
      </c>
      <c r="E337" s="5">
        <v>15680.92114432653</v>
      </c>
      <c r="F337" s="5">
        <v>2311.1107815756368</v>
      </c>
      <c r="G337" s="5">
        <v>1777.1829999900763</v>
      </c>
      <c r="H337" s="10">
        <v>300.05346307520699</v>
      </c>
      <c r="I337" s="31">
        <v>1.5205284557026957</v>
      </c>
    </row>
    <row r="338" spans="1:9">
      <c r="A338" s="1" t="s">
        <v>405</v>
      </c>
      <c r="B338" s="17">
        <v>336</v>
      </c>
      <c r="C338" s="2">
        <v>336</v>
      </c>
      <c r="D338" s="5">
        <v>26910.854408495288</v>
      </c>
      <c r="E338" s="5">
        <v>13614.984271054536</v>
      </c>
      <c r="F338" s="5">
        <v>1574.5076120046108</v>
      </c>
      <c r="G338" s="5">
        <v>1107.9670651278536</v>
      </c>
      <c r="H338" s="10">
        <v>191.86527049500614</v>
      </c>
      <c r="I338" s="31">
        <v>1.5785412135386636</v>
      </c>
    </row>
    <row r="339" spans="1:9">
      <c r="A339" s="1" t="s">
        <v>406</v>
      </c>
      <c r="B339" s="17">
        <v>337</v>
      </c>
      <c r="C339" s="2">
        <v>337</v>
      </c>
      <c r="D339" s="5">
        <v>24631.188486340623</v>
      </c>
      <c r="E339" s="5">
        <v>13809.542715928783</v>
      </c>
      <c r="F339" s="5">
        <v>2374.0307619126652</v>
      </c>
      <c r="G339" s="5">
        <v>3454.2087018916609</v>
      </c>
      <c r="H339" s="10">
        <v>313.91315373516295</v>
      </c>
      <c r="I339" s="31">
        <v>1.8399610031059623</v>
      </c>
    </row>
    <row r="340" spans="1:9">
      <c r="A340" s="1" t="s">
        <v>407</v>
      </c>
      <c r="B340" s="17">
        <v>338</v>
      </c>
      <c r="C340" s="2">
        <v>338</v>
      </c>
      <c r="D340" s="5">
        <v>17956.739293489452</v>
      </c>
      <c r="E340" s="5">
        <v>25451.588063335119</v>
      </c>
      <c r="F340" s="5">
        <v>2319.9931342068267</v>
      </c>
      <c r="G340" s="5">
        <v>857.98911689100692</v>
      </c>
      <c r="H340" s="10">
        <v>100.07737862874524</v>
      </c>
      <c r="I340" s="31">
        <v>2.3267497206592438</v>
      </c>
    </row>
    <row r="341" spans="1:9">
      <c r="A341" s="1" t="s">
        <v>408</v>
      </c>
      <c r="B341" s="17">
        <v>339</v>
      </c>
      <c r="C341" s="2">
        <v>339</v>
      </c>
      <c r="D341" s="5">
        <v>30860.555220869035</v>
      </c>
      <c r="E341" s="5">
        <v>14489.981437050628</v>
      </c>
      <c r="F341" s="5">
        <v>2039.6197918861546</v>
      </c>
      <c r="G341" s="5">
        <v>1900.8216356586888</v>
      </c>
      <c r="H341" s="10">
        <v>472.10885654353365</v>
      </c>
      <c r="I341" s="31">
        <v>2.0561795863881329</v>
      </c>
    </row>
    <row r="342" spans="1:9">
      <c r="A342" s="1" t="s">
        <v>409</v>
      </c>
      <c r="B342" s="17">
        <v>340</v>
      </c>
      <c r="C342" s="2">
        <v>340</v>
      </c>
      <c r="D342" s="5">
        <v>34478.294818039874</v>
      </c>
      <c r="E342" s="5">
        <v>18969.138243486952</v>
      </c>
      <c r="F342" s="5">
        <v>1452.3658841616382</v>
      </c>
      <c r="G342" s="5">
        <v>1534.527733724575</v>
      </c>
      <c r="H342" s="10">
        <v>209.03986019370382</v>
      </c>
      <c r="I342" s="31">
        <v>2.5571534761633288</v>
      </c>
    </row>
    <row r="343" spans="1:9">
      <c r="A343" s="1" t="s">
        <v>410</v>
      </c>
      <c r="B343" s="17">
        <v>341</v>
      </c>
      <c r="C343" s="2">
        <v>341</v>
      </c>
      <c r="D343" s="5">
        <v>26970.414433112728</v>
      </c>
      <c r="E343" s="5">
        <v>12499.812033449243</v>
      </c>
      <c r="F343" s="5">
        <v>1990.6389547221736</v>
      </c>
      <c r="G343" s="5">
        <v>1133.0721740586557</v>
      </c>
      <c r="H343" s="10">
        <v>151.03364621213291</v>
      </c>
      <c r="I343" s="31">
        <v>1.8816095025425952</v>
      </c>
    </row>
    <row r="344" spans="1:9">
      <c r="A344" s="1" t="s">
        <v>411</v>
      </c>
      <c r="B344" s="17">
        <v>342</v>
      </c>
      <c r="C344" s="2">
        <v>342</v>
      </c>
      <c r="D344" s="5">
        <v>19262.779469744462</v>
      </c>
      <c r="E344" s="5">
        <v>813.40479537339888</v>
      </c>
      <c r="F344" s="5">
        <v>1472.7738084010455</v>
      </c>
      <c r="G344" s="5">
        <v>2544.7357805232277</v>
      </c>
      <c r="H344" s="10">
        <v>213.7220215642144</v>
      </c>
      <c r="I344" s="31">
        <v>2.1302204129728111</v>
      </c>
    </row>
    <row r="345" spans="1:9">
      <c r="A345" s="1" t="s">
        <v>412</v>
      </c>
      <c r="B345" s="17">
        <v>343</v>
      </c>
      <c r="C345" s="2">
        <v>343</v>
      </c>
      <c r="D345" s="5">
        <v>18747.914467254621</v>
      </c>
      <c r="E345" s="5">
        <v>19713.345439757231</v>
      </c>
      <c r="F345" s="5">
        <v>871.96047154147186</v>
      </c>
      <c r="G345" s="5">
        <v>696.27548518740127</v>
      </c>
      <c r="H345" s="10">
        <v>369.49954345768379</v>
      </c>
      <c r="I345" s="31">
        <v>1.4062549744898192</v>
      </c>
    </row>
    <row r="346" spans="1:9">
      <c r="A346" s="1" t="s">
        <v>413</v>
      </c>
      <c r="B346" s="17">
        <v>344</v>
      </c>
      <c r="C346" s="2">
        <v>344</v>
      </c>
      <c r="D346" s="5">
        <v>24519.810862626717</v>
      </c>
      <c r="E346" s="5">
        <v>20727.311595757608</v>
      </c>
      <c r="F346" s="5">
        <v>2170.2107255085975</v>
      </c>
      <c r="G346" s="5">
        <v>1850.8658739273631</v>
      </c>
      <c r="H346" s="10">
        <v>444.05204189174287</v>
      </c>
      <c r="I346" s="31">
        <v>2.6648528195340973</v>
      </c>
    </row>
    <row r="347" spans="1:9">
      <c r="A347" s="1" t="s">
        <v>414</v>
      </c>
      <c r="B347" s="17">
        <v>345</v>
      </c>
      <c r="C347" s="2">
        <v>345</v>
      </c>
      <c r="D347" s="5">
        <v>18913.010675843314</v>
      </c>
      <c r="E347" s="5">
        <v>18530.501103688774</v>
      </c>
      <c r="F347" s="5">
        <v>1856.8670633802797</v>
      </c>
      <c r="G347" s="5">
        <v>1560.8793089167409</v>
      </c>
      <c r="H347" s="10">
        <v>465.7806121173478</v>
      </c>
      <c r="I347" s="31">
        <v>1.677966763917901</v>
      </c>
    </row>
    <row r="348" spans="1:9">
      <c r="A348" s="1" t="s">
        <v>415</v>
      </c>
      <c r="B348" s="17">
        <v>346</v>
      </c>
      <c r="C348" s="2">
        <v>346</v>
      </c>
      <c r="D348" s="5">
        <v>25318.061228493978</v>
      </c>
      <c r="E348" s="5">
        <v>18891.77214712555</v>
      </c>
      <c r="F348" s="5">
        <v>1984.140615078006</v>
      </c>
      <c r="G348" s="5">
        <v>1075.5687763857384</v>
      </c>
      <c r="H348" s="10">
        <v>213.57905062327222</v>
      </c>
      <c r="I348" s="31">
        <v>2.207382618825612</v>
      </c>
    </row>
    <row r="349" spans="1:9">
      <c r="A349" s="1" t="s">
        <v>416</v>
      </c>
      <c r="B349" s="17">
        <v>347</v>
      </c>
      <c r="C349" s="2">
        <v>347</v>
      </c>
      <c r="D349" s="5">
        <v>16995.218168953077</v>
      </c>
      <c r="E349" s="5">
        <v>14929.427184535425</v>
      </c>
      <c r="F349" s="5">
        <v>2303.6483775475899</v>
      </c>
      <c r="G349" s="5">
        <v>2099.8850019631609</v>
      </c>
      <c r="H349" s="10">
        <v>202.46100578483197</v>
      </c>
      <c r="I349" s="31">
        <v>1.3785538024507318</v>
      </c>
    </row>
    <row r="350" spans="1:9">
      <c r="A350" s="1" t="s">
        <v>417</v>
      </c>
      <c r="B350" s="17">
        <v>348</v>
      </c>
      <c r="C350" s="2">
        <v>348</v>
      </c>
      <c r="D350" s="5">
        <v>25134.527975717538</v>
      </c>
      <c r="E350" s="5">
        <v>24507.710534516547</v>
      </c>
      <c r="F350" s="5">
        <v>959.26286796465524</v>
      </c>
      <c r="G350" s="5">
        <v>1667.1018361129643</v>
      </c>
      <c r="H350" s="10">
        <v>374.28797441648089</v>
      </c>
      <c r="I350" s="31">
        <v>1.4231446294337715</v>
      </c>
    </row>
    <row r="351" spans="1:9">
      <c r="A351" s="1" t="s">
        <v>418</v>
      </c>
      <c r="B351" s="17">
        <v>349</v>
      </c>
      <c r="C351" s="2">
        <v>349</v>
      </c>
      <c r="D351" s="5">
        <v>29979.94559035428</v>
      </c>
      <c r="E351" s="5">
        <v>13692.461899510645</v>
      </c>
      <c r="F351" s="5">
        <v>1617.1128913091636</v>
      </c>
      <c r="G351" s="5">
        <v>1089.4261868042338</v>
      </c>
      <c r="H351" s="10">
        <v>281.96188734150087</v>
      </c>
      <c r="I351" s="31">
        <v>1.04800615174954</v>
      </c>
    </row>
    <row r="352" spans="1:9">
      <c r="A352" s="1" t="s">
        <v>419</v>
      </c>
      <c r="B352" s="17">
        <v>350</v>
      </c>
      <c r="C352" s="2">
        <v>350</v>
      </c>
      <c r="D352" s="5">
        <v>20467.651952525419</v>
      </c>
      <c r="E352" s="5">
        <v>10240.208972060655</v>
      </c>
      <c r="F352" s="5">
        <v>1920.9125434107521</v>
      </c>
      <c r="G352" s="5">
        <v>1110.4108273838608</v>
      </c>
      <c r="H352" s="10">
        <v>503.35321106253718</v>
      </c>
      <c r="I352" s="31">
        <v>2.0350386556396174</v>
      </c>
    </row>
    <row r="353" spans="1:9">
      <c r="A353" s="1" t="s">
        <v>420</v>
      </c>
      <c r="B353" s="17">
        <v>351</v>
      </c>
      <c r="C353" s="2">
        <v>351</v>
      </c>
      <c r="D353" s="5">
        <v>25635.292951242354</v>
      </c>
      <c r="E353" s="5">
        <v>19062.035184036231</v>
      </c>
      <c r="F353" s="5">
        <v>2119.9611432356432</v>
      </c>
      <c r="G353" s="5">
        <v>994.67877060389924</v>
      </c>
      <c r="H353" s="10">
        <v>529.55605962383447</v>
      </c>
      <c r="I353" s="31">
        <v>1.9234162088736397</v>
      </c>
    </row>
    <row r="354" spans="1:9">
      <c r="A354" s="1" t="s">
        <v>421</v>
      </c>
      <c r="B354" s="17">
        <v>352</v>
      </c>
      <c r="C354" s="2">
        <v>352</v>
      </c>
      <c r="D354" s="5">
        <v>25467.735532589675</v>
      </c>
      <c r="E354" s="5">
        <v>1032.0820557279239</v>
      </c>
      <c r="F354" s="5">
        <v>1596.0705945152697</v>
      </c>
      <c r="G354" s="5">
        <v>2133.0577224061235</v>
      </c>
      <c r="H354" s="10">
        <v>184.19934393172912</v>
      </c>
      <c r="I354" s="31">
        <v>1.8049812449584337</v>
      </c>
    </row>
    <row r="355" spans="1:9">
      <c r="A355" s="1" t="s">
        <v>422</v>
      </c>
      <c r="B355" s="17">
        <v>353</v>
      </c>
      <c r="C355" s="2">
        <v>353</v>
      </c>
      <c r="D355" s="5">
        <v>25194.062821715397</v>
      </c>
      <c r="E355" s="5">
        <v>682.76353510719673</v>
      </c>
      <c r="F355" s="5">
        <v>3454.7344306892155</v>
      </c>
      <c r="G355" s="5">
        <v>1039.8723920033478</v>
      </c>
      <c r="H355" s="10">
        <v>274.33896161678308</v>
      </c>
      <c r="I355" s="31">
        <v>2.473484477295095</v>
      </c>
    </row>
    <row r="356" spans="1:9">
      <c r="A356" s="1" t="s">
        <v>423</v>
      </c>
      <c r="B356" s="17">
        <v>354</v>
      </c>
      <c r="C356" s="2">
        <v>354</v>
      </c>
      <c r="D356" s="5">
        <v>32973.293189860531</v>
      </c>
      <c r="E356" s="5">
        <v>34529.557025145376</v>
      </c>
      <c r="F356" s="5">
        <v>1546.3735302736425</v>
      </c>
      <c r="G356" s="5">
        <v>116.64900554653627</v>
      </c>
      <c r="H356" s="10">
        <v>94.81867735271112</v>
      </c>
      <c r="I356" s="31">
        <v>2.1987336189426046</v>
      </c>
    </row>
    <row r="357" spans="1:9">
      <c r="A357" s="1" t="s">
        <v>424</v>
      </c>
      <c r="B357" s="17">
        <v>355</v>
      </c>
      <c r="C357" s="2">
        <v>355</v>
      </c>
      <c r="D357" s="5">
        <v>17576.088922672941</v>
      </c>
      <c r="E357" s="5">
        <v>11319.783882772126</v>
      </c>
      <c r="F357" s="5">
        <v>1436.1859734170978</v>
      </c>
      <c r="G357" s="5">
        <v>1284.8269828663649</v>
      </c>
      <c r="H357" s="10">
        <v>333.75420626057053</v>
      </c>
      <c r="I357" s="31">
        <v>1.8905749162144261</v>
      </c>
    </row>
    <row r="358" spans="1:9">
      <c r="A358" s="1" t="s">
        <v>425</v>
      </c>
      <c r="B358" s="17">
        <v>356</v>
      </c>
      <c r="C358" s="2">
        <v>356</v>
      </c>
      <c r="D358" s="5">
        <v>16691.488480954693</v>
      </c>
      <c r="E358" s="5">
        <v>13735.689880550635</v>
      </c>
      <c r="F358" s="5">
        <v>813.26168348904707</v>
      </c>
      <c r="G358" s="5">
        <v>1495.4533520184884</v>
      </c>
      <c r="H358" s="10">
        <v>523.60441489840628</v>
      </c>
      <c r="I358" s="31">
        <v>2.0487299657992466</v>
      </c>
    </row>
    <row r="359" spans="1:9">
      <c r="A359" s="1" t="s">
        <v>426</v>
      </c>
      <c r="B359" s="17">
        <v>357</v>
      </c>
      <c r="C359" s="2">
        <v>357</v>
      </c>
      <c r="D359" s="5">
        <v>25029.847864812014</v>
      </c>
      <c r="E359" s="5">
        <v>11257.604739973258</v>
      </c>
      <c r="F359" s="5">
        <v>1945.5098276202009</v>
      </c>
      <c r="G359" s="5">
        <v>491.61900104347637</v>
      </c>
      <c r="H359" s="10">
        <v>274.55204857473905</v>
      </c>
      <c r="I359" s="31">
        <v>1.2571813213338814</v>
      </c>
    </row>
    <row r="360" spans="1:9">
      <c r="B360" s="18">
        <v>358</v>
      </c>
      <c r="C360" s="19">
        <v>358</v>
      </c>
      <c r="D360" s="22">
        <v>25855.989846519467</v>
      </c>
      <c r="E360" s="22">
        <v>6305.5425576401922</v>
      </c>
      <c r="F360" s="22">
        <v>1304.3592638686207</v>
      </c>
      <c r="G360" s="22">
        <v>1480.4256892520459</v>
      </c>
      <c r="H360" s="32">
        <v>461.29647371676288</v>
      </c>
      <c r="I360" s="33">
        <v>2.6836014054873871</v>
      </c>
    </row>
    <row r="361" spans="1:9">
      <c r="B361"/>
      <c r="C361"/>
      <c r="D361"/>
      <c r="E361"/>
      <c r="F361"/>
      <c r="G361"/>
      <c r="H36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"/>
  <sheetViews>
    <sheetView topLeftCell="A286" workbookViewId="0">
      <selection activeCell="A286" sqref="A286"/>
    </sheetView>
  </sheetViews>
  <sheetFormatPr defaultRowHeight="14.4"/>
  <cols>
    <col min="1" max="1" width="24.33203125" style="1" bestFit="1" customWidth="1"/>
    <col min="2" max="2" width="21.21875" style="1" bestFit="1" customWidth="1"/>
    <col min="3" max="3" width="14.44140625" style="1" bestFit="1" customWidth="1"/>
    <col min="4" max="4" width="15" style="1" bestFit="1" customWidth="1"/>
    <col min="5" max="5" width="11.6640625" style="1" bestFit="1" customWidth="1"/>
    <col min="6" max="6" width="17.109375" style="1" bestFit="1" customWidth="1"/>
    <col min="7" max="7" width="11.21875" style="1" bestFit="1" customWidth="1"/>
    <col min="8" max="8" width="10.6640625" style="1" bestFit="1" customWidth="1"/>
    <col min="9" max="9" width="13.21875" style="1" bestFit="1" customWidth="1"/>
    <col min="10" max="10" width="15.44140625" style="1" bestFit="1" customWidth="1"/>
    <col min="11" max="11" width="12" style="1" bestFit="1" customWidth="1"/>
    <col min="12" max="16384" width="8.88671875" style="1"/>
  </cols>
  <sheetData>
    <row r="1" spans="1:17">
      <c r="A1"/>
      <c r="B1"/>
      <c r="C1"/>
      <c r="D1"/>
      <c r="E1"/>
      <c r="F1"/>
      <c r="G1"/>
      <c r="H1"/>
      <c r="I1"/>
      <c r="J1"/>
      <c r="K1"/>
    </row>
    <row r="2" spans="1:17" ht="17.399999999999999">
      <c r="A2" s="49" t="s">
        <v>40</v>
      </c>
      <c r="B2" s="49" t="s">
        <v>46</v>
      </c>
      <c r="C2" s="49" t="s">
        <v>48</v>
      </c>
      <c r="D2" s="49" t="s">
        <v>43</v>
      </c>
      <c r="E2" s="49" t="s">
        <v>49</v>
      </c>
      <c r="F2" s="49" t="s">
        <v>50</v>
      </c>
      <c r="G2" s="49" t="s">
        <v>552</v>
      </c>
      <c r="H2" s="49" t="s">
        <v>553</v>
      </c>
      <c r="I2" s="49" t="s">
        <v>554</v>
      </c>
      <c r="J2" s="49" t="s">
        <v>555</v>
      </c>
      <c r="K2" s="49" t="s">
        <v>3</v>
      </c>
      <c r="M2"/>
      <c r="N2"/>
      <c r="O2"/>
      <c r="P2"/>
      <c r="Q2"/>
    </row>
    <row r="3" spans="1:17">
      <c r="A3" s="17">
        <v>1</v>
      </c>
      <c r="B3" s="2">
        <v>1</v>
      </c>
      <c r="C3" s="2" t="s">
        <v>647</v>
      </c>
      <c r="D3" s="10">
        <v>24064.5</v>
      </c>
      <c r="E3" s="10">
        <v>29925.31</v>
      </c>
      <c r="F3" s="2">
        <v>5.45</v>
      </c>
      <c r="G3" s="11">
        <v>0.60262581608985788</v>
      </c>
      <c r="H3" s="11">
        <v>5.7963960533936039</v>
      </c>
      <c r="I3" s="11">
        <v>0.28289070136408556</v>
      </c>
      <c r="J3" s="11">
        <v>6.680008645767292</v>
      </c>
      <c r="K3" s="24">
        <v>64.340308140694745</v>
      </c>
      <c r="M3"/>
      <c r="N3"/>
      <c r="O3"/>
      <c r="P3"/>
      <c r="Q3"/>
    </row>
    <row r="4" spans="1:17">
      <c r="A4" s="17">
        <v>2</v>
      </c>
      <c r="B4" s="2">
        <v>2</v>
      </c>
      <c r="C4" s="2" t="s">
        <v>647</v>
      </c>
      <c r="D4" s="10">
        <v>14390.67</v>
      </c>
      <c r="E4" s="10">
        <v>30295.25</v>
      </c>
      <c r="F4" s="2">
        <v>5.18</v>
      </c>
      <c r="G4" s="11">
        <v>0.66431864414771558</v>
      </c>
      <c r="H4" s="11">
        <v>5.8799227705878216</v>
      </c>
      <c r="I4" s="11">
        <v>0.28147745259913792</v>
      </c>
      <c r="J4" s="11">
        <v>9.9557172007647274</v>
      </c>
      <c r="K4" s="24">
        <v>72.402509822556752</v>
      </c>
      <c r="L4"/>
      <c r="M4"/>
      <c r="N4"/>
      <c r="O4"/>
      <c r="P4"/>
      <c r="Q4"/>
    </row>
    <row r="5" spans="1:17">
      <c r="A5" s="17">
        <v>3</v>
      </c>
      <c r="B5" s="2">
        <v>3</v>
      </c>
      <c r="C5" s="2" t="s">
        <v>646</v>
      </c>
      <c r="D5" s="10">
        <v>11653.13</v>
      </c>
      <c r="E5" s="10">
        <v>6776.33</v>
      </c>
      <c r="F5" s="2">
        <v>2.69</v>
      </c>
      <c r="G5" s="11">
        <v>0.58477044661121913</v>
      </c>
      <c r="H5" s="11">
        <v>5.9813651559203969</v>
      </c>
      <c r="I5" s="11">
        <v>0.35746868722482761</v>
      </c>
      <c r="J5" s="11">
        <v>6.3830642301539671</v>
      </c>
      <c r="K5" s="24">
        <v>67.504780307160402</v>
      </c>
      <c r="L5"/>
      <c r="M5"/>
      <c r="N5"/>
      <c r="O5"/>
    </row>
    <row r="6" spans="1:17">
      <c r="A6" s="17">
        <v>4</v>
      </c>
      <c r="B6" s="2">
        <v>4</v>
      </c>
      <c r="C6" s="2" t="s">
        <v>647</v>
      </c>
      <c r="D6" s="10">
        <v>23215.47</v>
      </c>
      <c r="E6" s="10">
        <v>15640.85</v>
      </c>
      <c r="F6" s="2">
        <v>5.89</v>
      </c>
      <c r="G6" s="11">
        <v>0.58464147184058679</v>
      </c>
      <c r="H6" s="11">
        <v>6.1065601389724939</v>
      </c>
      <c r="I6" s="11">
        <v>0.27460366516676915</v>
      </c>
      <c r="J6" s="11">
        <v>5.3059768293545391</v>
      </c>
      <c r="K6" s="24">
        <v>64.119144530277211</v>
      </c>
      <c r="L6"/>
      <c r="M6"/>
      <c r="N6"/>
      <c r="O6"/>
    </row>
    <row r="7" spans="1:17">
      <c r="A7" s="17">
        <v>5</v>
      </c>
      <c r="B7" s="2">
        <v>5</v>
      </c>
      <c r="C7" s="2" t="s">
        <v>648</v>
      </c>
      <c r="D7" s="10">
        <v>21189.14</v>
      </c>
      <c r="E7" s="10">
        <v>9154.94</v>
      </c>
      <c r="F7" s="2">
        <v>9.64</v>
      </c>
      <c r="G7" s="11">
        <v>0.58386182589747482</v>
      </c>
      <c r="H7" s="11">
        <v>6.0876121754278607</v>
      </c>
      <c r="I7" s="11">
        <v>0.26701367076454519</v>
      </c>
      <c r="J7" s="11">
        <v>12.320075449775093</v>
      </c>
      <c r="K7" s="24">
        <v>64.8215540282783</v>
      </c>
    </row>
    <row r="8" spans="1:17">
      <c r="A8" s="17">
        <v>6</v>
      </c>
      <c r="B8" s="2">
        <v>6</v>
      </c>
      <c r="C8" s="2" t="s">
        <v>648</v>
      </c>
      <c r="D8" s="10">
        <v>17387.189999999999</v>
      </c>
      <c r="E8" s="10">
        <v>23164.22</v>
      </c>
      <c r="F8" s="2">
        <v>6.32</v>
      </c>
      <c r="G8" s="11">
        <v>0.66313673904805914</v>
      </c>
      <c r="H8" s="11">
        <v>6.1541805240698828</v>
      </c>
      <c r="I8" s="11">
        <v>0.27737222827524421</v>
      </c>
      <c r="J8" s="11">
        <v>8.5626889157586881</v>
      </c>
      <c r="K8" s="24">
        <v>57.404874298010512</v>
      </c>
    </row>
    <row r="9" spans="1:17">
      <c r="A9" s="17">
        <v>7</v>
      </c>
      <c r="B9" s="2">
        <v>7</v>
      </c>
      <c r="C9" s="2" t="s">
        <v>647</v>
      </c>
      <c r="D9" s="10">
        <v>7036.48</v>
      </c>
      <c r="E9" s="10">
        <v>39874.839999999997</v>
      </c>
      <c r="F9" s="2">
        <v>3.22</v>
      </c>
      <c r="G9" s="11">
        <v>0.55763350656779953</v>
      </c>
      <c r="H9" s="11">
        <v>4.957195767329889</v>
      </c>
      <c r="I9" s="11">
        <v>0.19401315434563005</v>
      </c>
      <c r="J9" s="11">
        <v>7.7159964482965266</v>
      </c>
      <c r="K9" s="24">
        <v>65.989038180671017</v>
      </c>
    </row>
    <row r="10" spans="1:17">
      <c r="A10" s="17">
        <v>8</v>
      </c>
      <c r="B10" s="2">
        <v>8</v>
      </c>
      <c r="C10" s="2" t="s">
        <v>647</v>
      </c>
      <c r="D10" s="10">
        <v>4754.8100000000004</v>
      </c>
      <c r="E10" s="10">
        <v>25162.83</v>
      </c>
      <c r="F10" s="2">
        <v>2.9</v>
      </c>
      <c r="G10" s="11">
        <v>0.63585143749951389</v>
      </c>
      <c r="H10" s="11">
        <v>5.6688492406362307</v>
      </c>
      <c r="I10" s="11">
        <v>0.46226269243517892</v>
      </c>
      <c r="J10" s="11">
        <v>6.6581892626530577</v>
      </c>
      <c r="K10" s="24">
        <v>58.809253363653809</v>
      </c>
    </row>
    <row r="11" spans="1:17">
      <c r="A11" s="17">
        <v>9</v>
      </c>
      <c r="B11" s="2">
        <v>9</v>
      </c>
      <c r="C11" s="2" t="s">
        <v>647</v>
      </c>
      <c r="D11" s="10">
        <v>3576.09</v>
      </c>
      <c r="E11" s="10">
        <v>14267.65</v>
      </c>
      <c r="F11" s="2">
        <v>4.1500000000000004</v>
      </c>
      <c r="G11" s="11">
        <v>0.52923437166900844</v>
      </c>
      <c r="H11" s="11">
        <v>6.1460383308155393</v>
      </c>
      <c r="I11" s="11">
        <v>0.24917323384513113</v>
      </c>
      <c r="J11" s="11">
        <v>7.4075712102242948</v>
      </c>
      <c r="K11" s="24">
        <v>73.941173837745012</v>
      </c>
    </row>
    <row r="12" spans="1:17">
      <c r="A12" s="17">
        <v>10</v>
      </c>
      <c r="B12" s="2">
        <v>10</v>
      </c>
      <c r="C12" s="2" t="s">
        <v>647</v>
      </c>
      <c r="D12" s="10">
        <v>4860.3</v>
      </c>
      <c r="E12" s="10">
        <v>25945.02</v>
      </c>
      <c r="F12" s="2">
        <v>8.89</v>
      </c>
      <c r="G12" s="11">
        <v>0.6567190442263382</v>
      </c>
      <c r="H12" s="11">
        <v>6.3542130027269046</v>
      </c>
      <c r="I12" s="11">
        <v>0.23098416630388785</v>
      </c>
      <c r="J12" s="11">
        <v>5.8279504580494619</v>
      </c>
      <c r="K12" s="24">
        <v>44.133616521782827</v>
      </c>
    </row>
    <row r="13" spans="1:17">
      <c r="A13" s="17">
        <v>11</v>
      </c>
      <c r="B13" s="2">
        <v>11</v>
      </c>
      <c r="C13" s="2" t="s">
        <v>646</v>
      </c>
      <c r="D13" s="5">
        <v>11625.735392268487</v>
      </c>
      <c r="E13" s="5">
        <v>20771.046881236107</v>
      </c>
      <c r="F13" s="5">
        <v>6.5200891520653457</v>
      </c>
      <c r="G13" s="11">
        <v>0.50437721186317508</v>
      </c>
      <c r="H13" s="11">
        <v>6.0300737156625779</v>
      </c>
      <c r="I13" s="11">
        <v>0.32779148725423513</v>
      </c>
      <c r="J13" s="11">
        <v>7.9731726918183528</v>
      </c>
      <c r="K13" s="24">
        <v>67.602232466658464</v>
      </c>
    </row>
    <row r="14" spans="1:17">
      <c r="A14" s="17">
        <v>12</v>
      </c>
      <c r="B14" s="2">
        <v>12</v>
      </c>
      <c r="C14" s="2" t="s">
        <v>648</v>
      </c>
      <c r="D14" s="5">
        <v>13124.647462287774</v>
      </c>
      <c r="E14" s="5">
        <v>22033.693259799766</v>
      </c>
      <c r="F14" s="5">
        <v>9.6138622650023606</v>
      </c>
      <c r="G14" s="11">
        <v>0.54395532383641698</v>
      </c>
      <c r="H14" s="11">
        <v>6.6953185010435696</v>
      </c>
      <c r="I14" s="11">
        <v>0.15724878978700874</v>
      </c>
      <c r="J14" s="11">
        <v>6.9569489287121984</v>
      </c>
      <c r="K14" s="24">
        <v>65.913339818918942</v>
      </c>
    </row>
    <row r="15" spans="1:17">
      <c r="A15" s="17">
        <v>13</v>
      </c>
      <c r="B15" s="2">
        <v>13</v>
      </c>
      <c r="C15" s="2" t="s">
        <v>648</v>
      </c>
      <c r="D15" s="5">
        <v>12115.927570672446</v>
      </c>
      <c r="E15" s="5">
        <v>21043.779103819834</v>
      </c>
      <c r="F15" s="5">
        <v>6.7059092895824577</v>
      </c>
      <c r="G15" s="11">
        <v>0.56361627776714163</v>
      </c>
      <c r="H15" s="11">
        <v>6.1016721761085897</v>
      </c>
      <c r="I15" s="11">
        <v>0.28240396444472937</v>
      </c>
      <c r="J15" s="11">
        <v>5.0985835564759769</v>
      </c>
      <c r="K15" s="24">
        <v>60.96761238436757</v>
      </c>
    </row>
    <row r="16" spans="1:17">
      <c r="A16" s="17">
        <v>14</v>
      </c>
      <c r="B16" s="2">
        <v>14</v>
      </c>
      <c r="C16" s="2" t="s">
        <v>646</v>
      </c>
      <c r="D16" s="5">
        <v>12865.032654414043</v>
      </c>
      <c r="E16" s="5">
        <v>22640.99129388298</v>
      </c>
      <c r="F16" s="5">
        <v>7.4535767511924931</v>
      </c>
      <c r="G16" s="11">
        <v>0.610575187610084</v>
      </c>
      <c r="H16" s="11">
        <v>5.7426774787665487</v>
      </c>
      <c r="I16" s="11">
        <v>0.27296665201403814</v>
      </c>
      <c r="J16" s="11">
        <v>1.2999264486964863</v>
      </c>
      <c r="K16" s="24">
        <v>65.719542910826206</v>
      </c>
    </row>
    <row r="17" spans="1:11">
      <c r="A17" s="17">
        <v>15</v>
      </c>
      <c r="B17" s="2">
        <v>15</v>
      </c>
      <c r="C17" s="2" t="s">
        <v>648</v>
      </c>
      <c r="D17" s="5">
        <v>12812.208520014045</v>
      </c>
      <c r="E17" s="5">
        <v>21689.534666620166</v>
      </c>
      <c r="F17" s="5">
        <v>6.5089673281199865</v>
      </c>
      <c r="G17" s="11">
        <v>0.50714596170000736</v>
      </c>
      <c r="H17" s="11">
        <v>6.5956593496559286</v>
      </c>
      <c r="I17" s="11">
        <v>0.43229362587182552</v>
      </c>
      <c r="J17" s="11">
        <v>3.1423219823412625</v>
      </c>
      <c r="K17" s="24">
        <v>51.394985665353673</v>
      </c>
    </row>
    <row r="18" spans="1:11">
      <c r="A18" s="17">
        <v>16</v>
      </c>
      <c r="B18" s="2">
        <v>16</v>
      </c>
      <c r="C18" s="2" t="s">
        <v>646</v>
      </c>
      <c r="D18" s="5">
        <v>13814.323206357747</v>
      </c>
      <c r="E18" s="5">
        <v>23055.44871160193</v>
      </c>
      <c r="F18" s="5">
        <v>6.0649050542060721</v>
      </c>
      <c r="G18" s="11">
        <v>0.64992845086526363</v>
      </c>
      <c r="H18" s="11">
        <v>6.0260891338213547</v>
      </c>
      <c r="I18" s="11">
        <v>0.23482627179716475</v>
      </c>
      <c r="J18" s="11">
        <v>8.0593261513539325</v>
      </c>
      <c r="K18" s="24">
        <v>78.190172943929795</v>
      </c>
    </row>
    <row r="19" spans="1:11">
      <c r="A19" s="17">
        <v>17</v>
      </c>
      <c r="B19" s="2">
        <v>17</v>
      </c>
      <c r="C19" s="2" t="s">
        <v>648</v>
      </c>
      <c r="D19" s="5">
        <v>13279.952550188844</v>
      </c>
      <c r="E19" s="5">
        <v>21073.633153718692</v>
      </c>
      <c r="F19" s="5">
        <v>5.5435078742966724</v>
      </c>
      <c r="G19" s="11">
        <v>0.56212150443461728</v>
      </c>
      <c r="H19" s="11">
        <v>5.3029255177181618</v>
      </c>
      <c r="I19" s="11">
        <v>0.33151333493335189</v>
      </c>
      <c r="J19" s="11">
        <v>15.352962427100781</v>
      </c>
      <c r="K19" s="24">
        <v>64.425958030564928</v>
      </c>
    </row>
    <row r="20" spans="1:11">
      <c r="A20" s="17">
        <v>18</v>
      </c>
      <c r="B20" s="2">
        <v>18</v>
      </c>
      <c r="C20" s="2" t="s">
        <v>646</v>
      </c>
      <c r="D20" s="5">
        <v>12163.921151337652</v>
      </c>
      <c r="E20" s="5">
        <v>22731.190658304986</v>
      </c>
      <c r="F20" s="5">
        <v>2.5498338881852831</v>
      </c>
      <c r="G20" s="11">
        <v>0.60484961791080427</v>
      </c>
      <c r="H20" s="11">
        <v>5.494781491307716</v>
      </c>
      <c r="I20" s="11">
        <v>0.28489090189352284</v>
      </c>
      <c r="J20" s="11">
        <v>14.061173460545749</v>
      </c>
      <c r="K20" s="24">
        <v>62.462101323519349</v>
      </c>
    </row>
    <row r="21" spans="1:11">
      <c r="A21" s="17">
        <v>19</v>
      </c>
      <c r="B21" s="2">
        <v>19</v>
      </c>
      <c r="C21" s="2" t="s">
        <v>648</v>
      </c>
      <c r="D21" s="5">
        <v>14258.850337906713</v>
      </c>
      <c r="E21" s="5">
        <v>21435.203909276897</v>
      </c>
      <c r="F21" s="5">
        <v>5.1942413903880222</v>
      </c>
      <c r="G21" s="11">
        <v>0.62181743650289723</v>
      </c>
      <c r="H21" s="11">
        <v>5.8022192582495187</v>
      </c>
      <c r="I21" s="11">
        <v>0.29685977298142463</v>
      </c>
      <c r="J21" s="11">
        <v>-0.44907281251166875</v>
      </c>
      <c r="K21" s="24">
        <v>56.624119271097882</v>
      </c>
    </row>
    <row r="22" spans="1:11">
      <c r="A22" s="17">
        <v>20</v>
      </c>
      <c r="B22" s="2">
        <v>20</v>
      </c>
      <c r="C22" s="2" t="s">
        <v>648</v>
      </c>
      <c r="D22" s="5">
        <v>13329.384951472255</v>
      </c>
      <c r="E22" s="5">
        <v>22555.559159627155</v>
      </c>
      <c r="F22" s="5">
        <v>2.3655239544559734</v>
      </c>
      <c r="G22" s="11">
        <v>0.60477331770816822</v>
      </c>
      <c r="H22" s="11">
        <v>5.4303448865982169</v>
      </c>
      <c r="I22" s="11">
        <v>0.26200314795643864</v>
      </c>
      <c r="J22" s="11">
        <v>3.2204832470282314</v>
      </c>
      <c r="K22" s="24">
        <v>64.199355970710897</v>
      </c>
    </row>
    <row r="23" spans="1:11">
      <c r="A23" s="17">
        <v>21</v>
      </c>
      <c r="B23" s="2">
        <v>21</v>
      </c>
      <c r="C23" s="2" t="s">
        <v>648</v>
      </c>
      <c r="D23" s="5">
        <v>13618.534576604523</v>
      </c>
      <c r="E23" s="5">
        <v>21406.103716798971</v>
      </c>
      <c r="F23" s="5">
        <v>4.9685947116877358</v>
      </c>
      <c r="G23" s="11">
        <v>0.72163331172196199</v>
      </c>
      <c r="H23" s="11">
        <v>5.4706534243188649</v>
      </c>
      <c r="I23" s="11">
        <v>0.25455740441158925</v>
      </c>
      <c r="J23" s="11">
        <v>3.6286417641034392</v>
      </c>
      <c r="K23" s="24">
        <v>55.840072351499842</v>
      </c>
    </row>
    <row r="24" spans="1:11">
      <c r="A24" s="17">
        <v>22</v>
      </c>
      <c r="B24" s="2">
        <v>22</v>
      </c>
      <c r="C24" s="2" t="s">
        <v>648</v>
      </c>
      <c r="D24" s="5">
        <v>12976.75691625607</v>
      </c>
      <c r="E24" s="5">
        <v>21910.627655870048</v>
      </c>
      <c r="F24" s="5">
        <v>4.7874787098471714</v>
      </c>
      <c r="G24" s="11">
        <v>0.61388221542874821</v>
      </c>
      <c r="H24" s="11">
        <v>5.6851414698450604</v>
      </c>
      <c r="I24" s="11">
        <v>0.19424021046190321</v>
      </c>
      <c r="J24" s="11">
        <v>7.5903512876792307</v>
      </c>
      <c r="K24" s="24">
        <v>57.097150596980285</v>
      </c>
    </row>
    <row r="25" spans="1:11">
      <c r="A25" s="17">
        <v>23</v>
      </c>
      <c r="B25" s="2">
        <v>23</v>
      </c>
      <c r="C25" s="2" t="s">
        <v>646</v>
      </c>
      <c r="D25" s="5">
        <v>13780.919967072057</v>
      </c>
      <c r="E25" s="5">
        <v>21946.407802715403</v>
      </c>
      <c r="F25" s="5">
        <v>3.1280765485526061</v>
      </c>
      <c r="G25" s="11">
        <v>0.69823707638424826</v>
      </c>
      <c r="H25" s="11">
        <v>6.0696151392755233</v>
      </c>
      <c r="I25" s="11">
        <v>0.19451510636556124</v>
      </c>
      <c r="J25" s="11">
        <v>4.4559958119865302</v>
      </c>
      <c r="K25" s="24">
        <v>55.97117159844602</v>
      </c>
    </row>
    <row r="26" spans="1:11">
      <c r="A26" s="17">
        <v>24</v>
      </c>
      <c r="B26" s="2">
        <v>24</v>
      </c>
      <c r="C26" s="2" t="s">
        <v>646</v>
      </c>
      <c r="D26" s="5">
        <v>13881.319087200771</v>
      </c>
      <c r="E26" s="5">
        <v>22957.82525561619</v>
      </c>
      <c r="F26" s="5">
        <v>7.1383806816420545</v>
      </c>
      <c r="G26" s="11">
        <v>0.61252732580105662</v>
      </c>
      <c r="H26" s="11">
        <v>5.4496094991611095</v>
      </c>
      <c r="I26" s="11">
        <v>0.27821513021719513</v>
      </c>
      <c r="J26" s="11">
        <v>6.7730884316532398</v>
      </c>
      <c r="K26" s="24">
        <v>54.058566778209936</v>
      </c>
    </row>
    <row r="27" spans="1:11">
      <c r="A27" s="17">
        <v>25</v>
      </c>
      <c r="B27" s="2">
        <v>25</v>
      </c>
      <c r="C27" s="2" t="s">
        <v>647</v>
      </c>
      <c r="D27" s="5">
        <v>11808.618405890391</v>
      </c>
      <c r="E27" s="5">
        <v>21642.38833711308</v>
      </c>
      <c r="F27" s="5">
        <v>7.5188544287420953</v>
      </c>
      <c r="G27" s="11">
        <v>0.65935214925848418</v>
      </c>
      <c r="H27" s="11">
        <v>5.796215671290323</v>
      </c>
      <c r="I27" s="11">
        <v>0.34136950152698775</v>
      </c>
      <c r="J27" s="11">
        <v>8.7259450470358821</v>
      </c>
      <c r="K27" s="24">
        <v>54.94985051528802</v>
      </c>
    </row>
    <row r="28" spans="1:11">
      <c r="A28" s="17">
        <v>26</v>
      </c>
      <c r="B28" s="2">
        <v>26</v>
      </c>
      <c r="C28" s="2" t="s">
        <v>648</v>
      </c>
      <c r="D28" s="5">
        <v>12871.43970352752</v>
      </c>
      <c r="E28" s="5">
        <v>23285.571789528622</v>
      </c>
      <c r="F28" s="5">
        <v>8.7569341350963512</v>
      </c>
      <c r="G28" s="11">
        <v>0.56549766372772869</v>
      </c>
      <c r="H28" s="11">
        <v>6.0121732427557468</v>
      </c>
      <c r="I28" s="11">
        <v>0.34627417697676721</v>
      </c>
      <c r="J28" s="11">
        <v>10.524963734356195</v>
      </c>
      <c r="K28" s="24">
        <v>70.308501994338442</v>
      </c>
    </row>
    <row r="29" spans="1:11">
      <c r="A29" s="17">
        <v>27</v>
      </c>
      <c r="B29" s="2">
        <v>27</v>
      </c>
      <c r="C29" s="2" t="s">
        <v>647</v>
      </c>
      <c r="D29" s="5">
        <v>14459.301605935414</v>
      </c>
      <c r="E29" s="5">
        <v>22455.767013525037</v>
      </c>
      <c r="F29" s="5">
        <v>2.3360790475699176</v>
      </c>
      <c r="G29" s="11">
        <v>0.61805915282893698</v>
      </c>
      <c r="H29" s="11">
        <v>6.7264736273602317</v>
      </c>
      <c r="I29" s="11">
        <v>0.18741009329416558</v>
      </c>
      <c r="J29" s="11">
        <v>8.1463708661184207</v>
      </c>
      <c r="K29" s="24">
        <v>74.108286694069832</v>
      </c>
    </row>
    <row r="30" spans="1:11">
      <c r="A30" s="17">
        <v>28</v>
      </c>
      <c r="B30" s="2">
        <v>28</v>
      </c>
      <c r="C30" s="2" t="s">
        <v>646</v>
      </c>
      <c r="D30" s="5">
        <v>13359.582676681546</v>
      </c>
      <c r="E30" s="5">
        <v>21684.820357676945</v>
      </c>
      <c r="F30" s="5">
        <v>7.3333569379947292</v>
      </c>
      <c r="G30" s="11">
        <v>0.62984179915365535</v>
      </c>
      <c r="H30" s="11">
        <v>5.6710638230890105</v>
      </c>
      <c r="I30" s="11">
        <v>0.30316730996402841</v>
      </c>
      <c r="J30" s="11">
        <v>9.0077381237577789</v>
      </c>
      <c r="K30" s="24">
        <v>55.658881723690868</v>
      </c>
    </row>
    <row r="31" spans="1:11">
      <c r="A31" s="17">
        <v>29</v>
      </c>
      <c r="B31" s="2">
        <v>29</v>
      </c>
      <c r="C31" s="2" t="s">
        <v>648</v>
      </c>
      <c r="D31" s="5">
        <v>12377.437992878347</v>
      </c>
      <c r="E31" s="5">
        <v>22659.001790088514</v>
      </c>
      <c r="F31" s="5">
        <v>4.1861030894842841</v>
      </c>
      <c r="G31" s="11">
        <v>0.60351648381474665</v>
      </c>
      <c r="H31" s="11">
        <v>5.896071870519048</v>
      </c>
      <c r="I31" s="11">
        <v>0.27354321654640446</v>
      </c>
      <c r="J31" s="11">
        <v>3.3710726407256049</v>
      </c>
      <c r="K31" s="24">
        <v>55.371546519292863</v>
      </c>
    </row>
    <row r="32" spans="1:11">
      <c r="A32" s="17">
        <v>30</v>
      </c>
      <c r="B32" s="2">
        <v>30</v>
      </c>
      <c r="C32" s="2" t="s">
        <v>646</v>
      </c>
      <c r="D32" s="5">
        <v>13252.561639316062</v>
      </c>
      <c r="E32" s="5">
        <v>22073.835627451917</v>
      </c>
      <c r="F32" s="5">
        <v>6.8203729759552587</v>
      </c>
      <c r="G32" s="11">
        <v>0.62576422655984065</v>
      </c>
      <c r="H32" s="11">
        <v>5.5594798461344759</v>
      </c>
      <c r="I32" s="11">
        <v>0.28567564996548755</v>
      </c>
      <c r="J32" s="11">
        <v>6.8570519497692191</v>
      </c>
      <c r="K32" s="24">
        <v>68.394986973359849</v>
      </c>
    </row>
    <row r="33" spans="1:11">
      <c r="A33" s="17">
        <v>31</v>
      </c>
      <c r="B33" s="2">
        <v>31</v>
      </c>
      <c r="C33" s="2" t="s">
        <v>646</v>
      </c>
      <c r="D33" s="5">
        <v>12653.527615153669</v>
      </c>
      <c r="E33" s="5">
        <v>20815.420786675095</v>
      </c>
      <c r="F33" s="5">
        <v>9.4508687086154239</v>
      </c>
      <c r="G33" s="11">
        <v>0.60864455560367792</v>
      </c>
      <c r="H33" s="11">
        <v>5.8885360160194828</v>
      </c>
      <c r="I33" s="11">
        <v>0.14408509440683703</v>
      </c>
      <c r="J33" s="11">
        <v>9.0553857196281093</v>
      </c>
      <c r="K33" s="24">
        <v>56.939898248699322</v>
      </c>
    </row>
    <row r="34" spans="1:11">
      <c r="A34" s="17">
        <v>32</v>
      </c>
      <c r="B34" s="2">
        <v>32</v>
      </c>
      <c r="C34" s="2" t="s">
        <v>646</v>
      </c>
      <c r="D34" s="5">
        <v>12446.167143249275</v>
      </c>
      <c r="E34" s="5">
        <v>20462.771037272905</v>
      </c>
      <c r="F34" s="5">
        <v>3.1613227224233995</v>
      </c>
      <c r="G34" s="11">
        <v>0.64505945067940051</v>
      </c>
      <c r="H34" s="11">
        <v>6.0934128325208654</v>
      </c>
      <c r="I34" s="11">
        <v>0.25073365944833315</v>
      </c>
      <c r="J34" s="11">
        <v>8.4483463265545176</v>
      </c>
      <c r="K34" s="24">
        <v>60.341030193223745</v>
      </c>
    </row>
    <row r="35" spans="1:11">
      <c r="A35" s="17">
        <v>33</v>
      </c>
      <c r="B35" s="2">
        <v>33</v>
      </c>
      <c r="C35" s="2" t="s">
        <v>646</v>
      </c>
      <c r="D35" s="5">
        <v>13639.689537054599</v>
      </c>
      <c r="E35" s="5">
        <v>21978.88307318819</v>
      </c>
      <c r="F35" s="5">
        <v>2.0877332196569185</v>
      </c>
      <c r="G35" s="11">
        <v>0.56658837013746965</v>
      </c>
      <c r="H35" s="11">
        <v>6.0877484423428392</v>
      </c>
      <c r="I35" s="11">
        <v>0.18029644857917448</v>
      </c>
      <c r="J35" s="11">
        <v>3.0446331337001071</v>
      </c>
      <c r="K35" s="24">
        <v>57.493315470157725</v>
      </c>
    </row>
    <row r="36" spans="1:11">
      <c r="A36" s="17">
        <v>34</v>
      </c>
      <c r="B36" s="2">
        <v>34</v>
      </c>
      <c r="C36" s="2" t="s">
        <v>647</v>
      </c>
      <c r="D36" s="5">
        <v>12882.733808734136</v>
      </c>
      <c r="E36" s="5">
        <v>22937.471105251025</v>
      </c>
      <c r="F36" s="5">
        <v>3.58210833651993</v>
      </c>
      <c r="G36" s="11">
        <v>0.5991679956321605</v>
      </c>
      <c r="H36" s="11">
        <v>5.7227795681671374</v>
      </c>
      <c r="I36" s="11">
        <v>0.1718146152047848</v>
      </c>
      <c r="J36" s="11">
        <v>8.086212957055384</v>
      </c>
      <c r="K36" s="24">
        <v>54.485587456558463</v>
      </c>
    </row>
    <row r="37" spans="1:11">
      <c r="A37" s="17">
        <v>35</v>
      </c>
      <c r="B37" s="2">
        <v>35</v>
      </c>
      <c r="C37" s="2" t="s">
        <v>647</v>
      </c>
      <c r="D37" s="5">
        <v>13313.666154541514</v>
      </c>
      <c r="E37" s="5">
        <v>23328.275976381992</v>
      </c>
      <c r="F37" s="5">
        <v>1.7078017360354423</v>
      </c>
      <c r="G37" s="11">
        <v>0.67972305662697186</v>
      </c>
      <c r="H37" s="11">
        <v>6.2784946738622089</v>
      </c>
      <c r="I37" s="11">
        <v>0.21627138349642339</v>
      </c>
      <c r="J37" s="11">
        <v>7.3973781606267481</v>
      </c>
      <c r="K37" s="24">
        <v>53.295909576060879</v>
      </c>
    </row>
    <row r="38" spans="1:11">
      <c r="A38" s="17">
        <v>36</v>
      </c>
      <c r="B38" s="2">
        <v>36</v>
      </c>
      <c r="C38" s="2" t="s">
        <v>646</v>
      </c>
      <c r="D38" s="5">
        <v>15203.547486859114</v>
      </c>
      <c r="E38" s="5">
        <v>22140.841455893242</v>
      </c>
      <c r="F38" s="5">
        <v>6.604172527051567</v>
      </c>
      <c r="G38" s="11">
        <v>0.61057948884699731</v>
      </c>
      <c r="H38" s="11">
        <v>6.3510871965513012</v>
      </c>
      <c r="I38" s="11">
        <v>0.1720349415650344</v>
      </c>
      <c r="J38" s="11">
        <v>11.215311845785752</v>
      </c>
      <c r="K38" s="24">
        <v>47.21670915686191</v>
      </c>
    </row>
    <row r="39" spans="1:11">
      <c r="A39" s="17">
        <v>37</v>
      </c>
      <c r="B39" s="2">
        <v>37</v>
      </c>
      <c r="C39" s="2" t="s">
        <v>647</v>
      </c>
      <c r="D39" s="5">
        <v>12543.817543015555</v>
      </c>
      <c r="E39" s="5">
        <v>22366.307466199505</v>
      </c>
      <c r="F39" s="5">
        <v>2.3546407264411826</v>
      </c>
      <c r="G39" s="11">
        <v>0.63006315701277349</v>
      </c>
      <c r="H39" s="11">
        <v>6.1224063146107106</v>
      </c>
      <c r="I39" s="11">
        <v>0.27969626173855433</v>
      </c>
      <c r="J39" s="11">
        <v>3.1298807869010021</v>
      </c>
      <c r="K39" s="24">
        <v>56.219914291361604</v>
      </c>
    </row>
    <row r="40" spans="1:11">
      <c r="A40" s="17">
        <v>38</v>
      </c>
      <c r="B40" s="2">
        <v>38</v>
      </c>
      <c r="C40" s="2" t="s">
        <v>647</v>
      </c>
      <c r="D40" s="5">
        <v>13770.560140297837</v>
      </c>
      <c r="E40" s="5">
        <v>23514.040269219113</v>
      </c>
      <c r="F40" s="5">
        <v>3.6944707519132933</v>
      </c>
      <c r="G40" s="11">
        <v>0.65474159730802062</v>
      </c>
      <c r="H40" s="11">
        <v>5.8796183757885352</v>
      </c>
      <c r="I40" s="11">
        <v>0.28375064714466136</v>
      </c>
      <c r="J40" s="11">
        <v>8.0511702565653174</v>
      </c>
      <c r="K40" s="24">
        <v>64.855428665912044</v>
      </c>
    </row>
    <row r="41" spans="1:11">
      <c r="A41" s="17">
        <v>39</v>
      </c>
      <c r="B41" s="2">
        <v>39</v>
      </c>
      <c r="C41" s="2" t="s">
        <v>648</v>
      </c>
      <c r="D41" s="5">
        <v>12614.63807645321</v>
      </c>
      <c r="E41" s="5">
        <v>20953.424215803825</v>
      </c>
      <c r="F41" s="5">
        <v>5.2081721391523459</v>
      </c>
      <c r="G41" s="11">
        <v>0.64388564935943582</v>
      </c>
      <c r="H41" s="11">
        <v>5.755704203703484</v>
      </c>
      <c r="I41" s="11">
        <v>0.21466428849818842</v>
      </c>
      <c r="J41" s="11">
        <v>6.5926838222165758</v>
      </c>
      <c r="K41" s="24">
        <v>67.071191013453429</v>
      </c>
    </row>
    <row r="42" spans="1:11">
      <c r="A42" s="17">
        <v>40</v>
      </c>
      <c r="B42" s="2">
        <v>40</v>
      </c>
      <c r="C42" s="2" t="s">
        <v>646</v>
      </c>
      <c r="D42" s="5">
        <v>13575.939756489041</v>
      </c>
      <c r="E42" s="5">
        <v>21671.869778401306</v>
      </c>
      <c r="F42" s="5">
        <v>3.3407197490369143</v>
      </c>
      <c r="G42" s="11">
        <v>0.65389917824068111</v>
      </c>
      <c r="H42" s="11">
        <v>5.9545382197449577</v>
      </c>
      <c r="I42" s="11">
        <v>0.2016997061168877</v>
      </c>
      <c r="J42" s="11">
        <v>9.2998733989114477</v>
      </c>
      <c r="K42" s="24">
        <v>60.855832148181165</v>
      </c>
    </row>
    <row r="43" spans="1:11">
      <c r="A43" s="17">
        <v>41</v>
      </c>
      <c r="B43" s="2">
        <v>41</v>
      </c>
      <c r="C43" s="2" t="s">
        <v>647</v>
      </c>
      <c r="D43" s="5">
        <v>14437.68746434778</v>
      </c>
      <c r="E43" s="5">
        <v>22331.591143938131</v>
      </c>
      <c r="F43" s="5">
        <v>4.2575029217068803</v>
      </c>
      <c r="G43" s="11">
        <v>0.6555307807764621</v>
      </c>
      <c r="H43" s="11">
        <v>5.6998891772945477</v>
      </c>
      <c r="I43" s="11">
        <v>0.37911831235262072</v>
      </c>
      <c r="J43" s="11">
        <v>3.5097228521320618</v>
      </c>
      <c r="K43" s="24">
        <v>56.093722543418792</v>
      </c>
    </row>
    <row r="44" spans="1:11">
      <c r="A44" s="17">
        <v>42</v>
      </c>
      <c r="B44" s="2">
        <v>42</v>
      </c>
      <c r="C44" s="2" t="s">
        <v>647</v>
      </c>
      <c r="D44" s="5">
        <v>13230.801069081443</v>
      </c>
      <c r="E44" s="5">
        <v>21990.155293678545</v>
      </c>
      <c r="F44" s="5">
        <v>8.2308789119060819</v>
      </c>
      <c r="G44" s="11">
        <v>0.58188562571449443</v>
      </c>
      <c r="H44" s="11">
        <v>6.4794334745544653</v>
      </c>
      <c r="I44" s="11">
        <v>0.16278240482690309</v>
      </c>
      <c r="J44" s="11">
        <v>9.1709760661527504</v>
      </c>
      <c r="K44" s="24">
        <v>55.276878057065645</v>
      </c>
    </row>
    <row r="45" spans="1:11">
      <c r="A45" s="17">
        <v>43</v>
      </c>
      <c r="B45" s="2">
        <v>43</v>
      </c>
      <c r="C45" s="2" t="s">
        <v>646</v>
      </c>
      <c r="D45" s="5">
        <v>13112.056190262754</v>
      </c>
      <c r="E45" s="5">
        <v>22894.641635502485</v>
      </c>
      <c r="F45" s="5">
        <v>4.517301354287163</v>
      </c>
      <c r="G45" s="11">
        <v>0.61682606924368888</v>
      </c>
      <c r="H45" s="11">
        <v>6.9970036474307413</v>
      </c>
      <c r="I45" s="11">
        <v>0.21338504965753602</v>
      </c>
      <c r="J45" s="11">
        <v>5.6092437004284408</v>
      </c>
      <c r="K45" s="24">
        <v>68.597203238320802</v>
      </c>
    </row>
    <row r="46" spans="1:11">
      <c r="A46" s="17">
        <v>44</v>
      </c>
      <c r="B46" s="2">
        <v>44</v>
      </c>
      <c r="C46" s="2" t="s">
        <v>647</v>
      </c>
      <c r="D46" s="5">
        <v>13427.596395782692</v>
      </c>
      <c r="E46" s="5">
        <v>22798.147885623184</v>
      </c>
      <c r="F46" s="5">
        <v>12.072213745074812</v>
      </c>
      <c r="G46" s="11">
        <v>0.56402876015345105</v>
      </c>
      <c r="H46" s="11">
        <v>6.1894300300297651</v>
      </c>
      <c r="I46" s="11">
        <v>0.13450367741781522</v>
      </c>
      <c r="J46" s="11">
        <v>11.508734893800781</v>
      </c>
      <c r="K46" s="24">
        <v>57.418390779036784</v>
      </c>
    </row>
    <row r="47" spans="1:11">
      <c r="A47" s="17">
        <v>45</v>
      </c>
      <c r="B47" s="2">
        <v>45</v>
      </c>
      <c r="C47" s="2" t="s">
        <v>648</v>
      </c>
      <c r="D47" s="5">
        <v>13182.970629028367</v>
      </c>
      <c r="E47" s="5">
        <v>21614.131644127629</v>
      </c>
      <c r="F47" s="5">
        <v>6.1027767355490212</v>
      </c>
      <c r="G47" s="11">
        <v>0.66809675091353715</v>
      </c>
      <c r="H47" s="11">
        <v>5.553413517574139</v>
      </c>
      <c r="I47" s="11">
        <v>0.31033742610999981</v>
      </c>
      <c r="J47" s="11">
        <v>9.500405825415644</v>
      </c>
      <c r="K47" s="24">
        <v>64.059852536908878</v>
      </c>
    </row>
    <row r="48" spans="1:11">
      <c r="A48" s="17">
        <v>46</v>
      </c>
      <c r="B48" s="2">
        <v>46</v>
      </c>
      <c r="C48" s="2" t="s">
        <v>647</v>
      </c>
      <c r="D48" s="5">
        <v>12725.484562221189</v>
      </c>
      <c r="E48" s="5">
        <v>22512.333320718899</v>
      </c>
      <c r="F48" s="5">
        <v>4.9152983456970176</v>
      </c>
      <c r="G48" s="11">
        <v>0.67583723192801703</v>
      </c>
      <c r="H48" s="11">
        <v>5.9904695504484913</v>
      </c>
      <c r="I48" s="11">
        <v>0.28593445297430664</v>
      </c>
      <c r="J48" s="11">
        <v>3.1854369087617203</v>
      </c>
      <c r="K48" s="24">
        <v>48.380613186334088</v>
      </c>
    </row>
    <row r="49" spans="1:11">
      <c r="A49" s="17">
        <v>47</v>
      </c>
      <c r="B49" s="2">
        <v>47</v>
      </c>
      <c r="C49" s="2" t="s">
        <v>647</v>
      </c>
      <c r="D49" s="5">
        <v>13842.948415227673</v>
      </c>
      <c r="E49" s="5">
        <v>20639.186634070502</v>
      </c>
      <c r="F49" s="5">
        <v>6.4226037352064012</v>
      </c>
      <c r="G49" s="11">
        <v>0.54657483945338758</v>
      </c>
      <c r="H49" s="11">
        <v>5.6775752248824425</v>
      </c>
      <c r="I49" s="11">
        <v>0.28792170603835077</v>
      </c>
      <c r="J49" s="11">
        <v>7.6009226660270075</v>
      </c>
      <c r="K49" s="24">
        <v>63.226078316745046</v>
      </c>
    </row>
    <row r="50" spans="1:11">
      <c r="A50" s="17">
        <v>48</v>
      </c>
      <c r="B50" s="2">
        <v>48</v>
      </c>
      <c r="C50" s="2" t="s">
        <v>648</v>
      </c>
      <c r="D50" s="5">
        <v>12942.337430327987</v>
      </c>
      <c r="E50" s="5">
        <v>22759.085542929388</v>
      </c>
      <c r="F50" s="5">
        <v>6.5893768680389329</v>
      </c>
      <c r="G50" s="11">
        <v>0.64856502110051228</v>
      </c>
      <c r="H50" s="11">
        <v>6.6029197293129833</v>
      </c>
      <c r="I50" s="11">
        <v>0.24305420318070903</v>
      </c>
      <c r="J50" s="11">
        <v>6.978015292102417</v>
      </c>
      <c r="K50" s="24">
        <v>71.889520684078164</v>
      </c>
    </row>
    <row r="51" spans="1:11">
      <c r="A51" s="17">
        <v>49</v>
      </c>
      <c r="B51" s="2">
        <v>49</v>
      </c>
      <c r="C51" s="2" t="s">
        <v>646</v>
      </c>
      <c r="D51" s="5">
        <v>12102.567548250752</v>
      </c>
      <c r="E51" s="5">
        <v>23706.785843387042</v>
      </c>
      <c r="F51" s="5">
        <v>6.0379220235126994</v>
      </c>
      <c r="G51" s="11">
        <v>0.49678234953607903</v>
      </c>
      <c r="H51" s="11">
        <v>5.4233972346093502</v>
      </c>
      <c r="I51" s="11">
        <v>0.29635584592439956</v>
      </c>
      <c r="J51" s="11">
        <v>4.0815740336578061</v>
      </c>
      <c r="K51" s="24">
        <v>67.767889001795268</v>
      </c>
    </row>
    <row r="52" spans="1:11">
      <c r="A52" s="17">
        <v>50</v>
      </c>
      <c r="B52" s="2">
        <v>50</v>
      </c>
      <c r="C52" s="2" t="s">
        <v>646</v>
      </c>
      <c r="D52" s="5">
        <v>12887.573116355432</v>
      </c>
      <c r="E52" s="5">
        <v>22193.13518435185</v>
      </c>
      <c r="F52" s="5">
        <v>5.6089428082550583</v>
      </c>
      <c r="G52" s="11">
        <v>0.57080146286243694</v>
      </c>
      <c r="H52" s="11">
        <v>6.4076923749996091</v>
      </c>
      <c r="I52" s="11">
        <v>0.23442548556615295</v>
      </c>
      <c r="J52" s="11">
        <v>1.8131002961721139</v>
      </c>
      <c r="K52" s="24">
        <v>59.976054865489644</v>
      </c>
    </row>
    <row r="53" spans="1:11">
      <c r="A53" s="17">
        <v>51</v>
      </c>
      <c r="B53" s="2">
        <v>51</v>
      </c>
      <c r="C53" s="2" t="s">
        <v>647</v>
      </c>
      <c r="D53" s="5">
        <v>14348.588815888595</v>
      </c>
      <c r="E53" s="5">
        <v>22207.04374576555</v>
      </c>
      <c r="F53" s="5">
        <v>4.2320978777361304</v>
      </c>
      <c r="G53" s="11">
        <v>0.55006395296804844</v>
      </c>
      <c r="H53" s="11">
        <v>6.0322672208587242</v>
      </c>
      <c r="I53" s="11">
        <v>0.31951125396246427</v>
      </c>
      <c r="J53" s="11">
        <v>7.4299653620167634</v>
      </c>
      <c r="K53" s="24">
        <v>67.317157594104359</v>
      </c>
    </row>
    <row r="54" spans="1:11">
      <c r="A54" s="17">
        <v>52</v>
      </c>
      <c r="B54" s="2">
        <v>52</v>
      </c>
      <c r="C54" s="2" t="s">
        <v>647</v>
      </c>
      <c r="D54" s="5">
        <v>13351.818775159862</v>
      </c>
      <c r="E54" s="5">
        <v>22469.61509354107</v>
      </c>
      <c r="F54" s="5">
        <v>1.1905474491022758</v>
      </c>
      <c r="G54" s="11">
        <v>0.60349965288769458</v>
      </c>
      <c r="H54" s="11">
        <v>6.9031775042741934</v>
      </c>
      <c r="I54" s="11">
        <v>0.20642618933108681</v>
      </c>
      <c r="J54" s="11">
        <v>9.913540820666956</v>
      </c>
      <c r="K54" s="24">
        <v>61.605625179836082</v>
      </c>
    </row>
    <row r="55" spans="1:11">
      <c r="A55" s="17">
        <v>53</v>
      </c>
      <c r="B55" s="2">
        <v>53</v>
      </c>
      <c r="C55" s="2" t="s">
        <v>646</v>
      </c>
      <c r="D55" s="5">
        <v>12914.068743381156</v>
      </c>
      <c r="E55" s="5">
        <v>22313.246920020465</v>
      </c>
      <c r="F55" s="5">
        <v>8.1271601763610377</v>
      </c>
      <c r="G55" s="11">
        <v>0.59591227097262167</v>
      </c>
      <c r="H55" s="11">
        <v>5.8748725618647164</v>
      </c>
      <c r="I55" s="11">
        <v>0.39438110641596724</v>
      </c>
      <c r="J55" s="11">
        <v>9.2975706864220662</v>
      </c>
      <c r="K55" s="24">
        <v>52.544205122846691</v>
      </c>
    </row>
    <row r="56" spans="1:11">
      <c r="A56" s="17">
        <v>54</v>
      </c>
      <c r="B56" s="2">
        <v>54</v>
      </c>
      <c r="C56" s="2" t="s">
        <v>647</v>
      </c>
      <c r="D56" s="5">
        <v>12206.38545896343</v>
      </c>
      <c r="E56" s="5">
        <v>22534.822680426732</v>
      </c>
      <c r="F56" s="5">
        <v>2.9640038878433259</v>
      </c>
      <c r="G56" s="11">
        <v>0.56089758435409753</v>
      </c>
      <c r="H56" s="11">
        <v>5.6676110743512105</v>
      </c>
      <c r="I56" s="11">
        <v>0.29294422536806453</v>
      </c>
      <c r="J56" s="11">
        <v>10.477876356058321</v>
      </c>
      <c r="K56" s="24">
        <v>69.407964549711508</v>
      </c>
    </row>
    <row r="57" spans="1:11">
      <c r="A57" s="17">
        <v>55</v>
      </c>
      <c r="B57" s="2">
        <v>55</v>
      </c>
      <c r="C57" s="2" t="s">
        <v>648</v>
      </c>
      <c r="D57" s="5">
        <v>13139.256107248164</v>
      </c>
      <c r="E57" s="5">
        <v>21457.366021422349</v>
      </c>
      <c r="F57" s="5">
        <v>8.8197607817228416</v>
      </c>
      <c r="G57" s="11">
        <v>0.66374140568659645</v>
      </c>
      <c r="H57" s="11">
        <v>5.5606415460931053</v>
      </c>
      <c r="I57" s="11">
        <v>0.3537705399908373</v>
      </c>
      <c r="J57" s="11">
        <v>13.27462798881729</v>
      </c>
      <c r="K57" s="24">
        <v>68.187415694030463</v>
      </c>
    </row>
    <row r="58" spans="1:11">
      <c r="A58" s="17">
        <v>56</v>
      </c>
      <c r="B58" s="2">
        <v>56</v>
      </c>
      <c r="C58" s="2" t="s">
        <v>647</v>
      </c>
      <c r="D58" s="5">
        <v>12336.394998097765</v>
      </c>
      <c r="E58" s="5">
        <v>24227.150508522318</v>
      </c>
      <c r="F58" s="5">
        <v>5.0373916792132221</v>
      </c>
      <c r="G58" s="11">
        <v>0.60837856461948836</v>
      </c>
      <c r="H58" s="11">
        <v>5.9727563220075659</v>
      </c>
      <c r="I58" s="11">
        <v>0.19660089183573293</v>
      </c>
      <c r="J58" s="11">
        <v>6.273217932635224</v>
      </c>
      <c r="K58" s="24">
        <v>46.097222923624216</v>
      </c>
    </row>
    <row r="59" spans="1:11">
      <c r="A59" s="17">
        <v>57</v>
      </c>
      <c r="B59" s="2">
        <v>57</v>
      </c>
      <c r="C59" s="2" t="s">
        <v>648</v>
      </c>
      <c r="D59" s="5">
        <v>13124.053789621192</v>
      </c>
      <c r="E59" s="5">
        <v>21698.710558666353</v>
      </c>
      <c r="F59" s="5">
        <v>9.0699394601933889</v>
      </c>
      <c r="G59" s="11">
        <v>0.54017397555871871</v>
      </c>
      <c r="H59" s="11">
        <v>5.9654322204118522</v>
      </c>
      <c r="I59" s="11">
        <v>0.27020920763290635</v>
      </c>
      <c r="J59" s="11">
        <v>6.7317014490439293</v>
      </c>
      <c r="K59" s="24">
        <v>64.502771388226577</v>
      </c>
    </row>
    <row r="60" spans="1:11">
      <c r="A60" s="17">
        <v>58</v>
      </c>
      <c r="B60" s="2">
        <v>58</v>
      </c>
      <c r="C60" s="2" t="s">
        <v>648</v>
      </c>
      <c r="D60" s="5">
        <v>11985.389615116381</v>
      </c>
      <c r="E60" s="5">
        <v>22819.370376054867</v>
      </c>
      <c r="F60" s="5">
        <v>3.8443361094841819</v>
      </c>
      <c r="G60" s="11">
        <v>0.62693229289725427</v>
      </c>
      <c r="H60" s="11">
        <v>5.2607827685016524</v>
      </c>
      <c r="I60" s="11">
        <v>0.26425564118723743</v>
      </c>
      <c r="J60" s="11">
        <v>6.2366219016033471</v>
      </c>
      <c r="K60" s="24">
        <v>68.689482423598932</v>
      </c>
    </row>
    <row r="61" spans="1:11">
      <c r="A61" s="17">
        <v>59</v>
      </c>
      <c r="B61" s="2">
        <v>59</v>
      </c>
      <c r="C61" s="2" t="s">
        <v>648</v>
      </c>
      <c r="D61" s="5">
        <v>13142.862708488045</v>
      </c>
      <c r="E61" s="5">
        <v>23662.971390876482</v>
      </c>
      <c r="F61" s="5">
        <v>5.5743843567661386</v>
      </c>
      <c r="G61" s="11">
        <v>0.53187545580731244</v>
      </c>
      <c r="H61" s="11">
        <v>6.3753647650116214</v>
      </c>
      <c r="I61" s="11">
        <v>0.20499904215696008</v>
      </c>
      <c r="J61" s="11">
        <v>8.9584317018287472</v>
      </c>
      <c r="K61" s="24">
        <v>51.592863306775328</v>
      </c>
    </row>
    <row r="62" spans="1:11">
      <c r="A62" s="17">
        <v>60</v>
      </c>
      <c r="B62" s="2">
        <v>60</v>
      </c>
      <c r="C62" s="2" t="s">
        <v>646</v>
      </c>
      <c r="D62" s="5">
        <v>14334.82770630342</v>
      </c>
      <c r="E62" s="5">
        <v>21102.230054566026</v>
      </c>
      <c r="F62" s="5">
        <v>5.3372850733985686</v>
      </c>
      <c r="G62" s="11">
        <v>0.60407888612535321</v>
      </c>
      <c r="H62" s="11">
        <v>5.8984893828380187</v>
      </c>
      <c r="I62" s="11">
        <v>0.23978910111693041</v>
      </c>
      <c r="J62" s="11">
        <v>6.6763308537818817</v>
      </c>
      <c r="K62" s="24">
        <v>59.647692362623005</v>
      </c>
    </row>
    <row r="63" spans="1:11">
      <c r="A63" s="17">
        <v>61</v>
      </c>
      <c r="B63" s="2">
        <v>61</v>
      </c>
      <c r="C63" s="2" t="s">
        <v>646</v>
      </c>
      <c r="D63" s="5">
        <v>13778.467287235051</v>
      </c>
      <c r="E63" s="5">
        <v>22959.719619393145</v>
      </c>
      <c r="F63" s="5">
        <v>5.3361897011718682</v>
      </c>
      <c r="G63" s="11">
        <v>0.48820156890433286</v>
      </c>
      <c r="H63" s="11">
        <v>5.9574115890097197</v>
      </c>
      <c r="I63" s="11">
        <v>0.29808919699759828</v>
      </c>
      <c r="J63" s="11">
        <v>5.7768578878861705</v>
      </c>
      <c r="K63" s="24">
        <v>63.47438107930175</v>
      </c>
    </row>
    <row r="64" spans="1:11">
      <c r="A64" s="17">
        <v>62</v>
      </c>
      <c r="B64" s="2">
        <v>62</v>
      </c>
      <c r="C64" s="2" t="s">
        <v>648</v>
      </c>
      <c r="D64" s="5">
        <v>12698.930045413525</v>
      </c>
      <c r="E64" s="5">
        <v>21735.576130594854</v>
      </c>
      <c r="F64" s="5">
        <v>6.9656155373713844</v>
      </c>
      <c r="G64" s="11">
        <v>0.59558088871999648</v>
      </c>
      <c r="H64" s="11">
        <v>5.7159074021671437</v>
      </c>
      <c r="I64" s="11">
        <v>0.37072045462948156</v>
      </c>
      <c r="J64" s="11">
        <v>5.9342171835467967</v>
      </c>
      <c r="K64" s="24">
        <v>59.120830247827328</v>
      </c>
    </row>
    <row r="65" spans="1:11">
      <c r="A65" s="17">
        <v>63</v>
      </c>
      <c r="B65" s="2">
        <v>63</v>
      </c>
      <c r="C65" s="2" t="s">
        <v>648</v>
      </c>
      <c r="D65" s="5">
        <v>13924.681066097199</v>
      </c>
      <c r="E65" s="5">
        <v>21280.19008705407</v>
      </c>
      <c r="F65" s="5">
        <v>4.0124634057981723E-2</v>
      </c>
      <c r="G65" s="11">
        <v>0.5731223230293836</v>
      </c>
      <c r="H65" s="11">
        <v>6.4331429173000139</v>
      </c>
      <c r="I65" s="11">
        <v>0.20318581180574258</v>
      </c>
      <c r="J65" s="11">
        <v>10.548332810235795</v>
      </c>
      <c r="K65" s="24">
        <v>68.836388823440032</v>
      </c>
    </row>
    <row r="66" spans="1:11">
      <c r="A66" s="17">
        <v>64</v>
      </c>
      <c r="B66" s="2">
        <v>64</v>
      </c>
      <c r="C66" s="2" t="s">
        <v>648</v>
      </c>
      <c r="D66" s="5">
        <v>12310.225652296302</v>
      </c>
      <c r="E66" s="5">
        <v>21742.78961729171</v>
      </c>
      <c r="F66" s="5">
        <v>3.0312987855331883</v>
      </c>
      <c r="G66" s="11">
        <v>0.67429526966298003</v>
      </c>
      <c r="H66" s="11">
        <v>5.7510569137002072</v>
      </c>
      <c r="I66" s="11">
        <v>0.40823738147038968</v>
      </c>
      <c r="J66" s="11">
        <v>6.3620306067517491</v>
      </c>
      <c r="K66" s="24">
        <v>66.659097627282065</v>
      </c>
    </row>
    <row r="67" spans="1:11">
      <c r="A67" s="17">
        <v>65</v>
      </c>
      <c r="B67" s="2">
        <v>65</v>
      </c>
      <c r="C67" s="2" t="s">
        <v>648</v>
      </c>
      <c r="D67" s="5">
        <v>13898.677248331458</v>
      </c>
      <c r="E67" s="5">
        <v>20990.320028431161</v>
      </c>
      <c r="F67" s="5">
        <v>2.2757468129448242</v>
      </c>
      <c r="G67" s="11">
        <v>0.64093069959999416</v>
      </c>
      <c r="H67" s="11">
        <v>6.2172172068039195</v>
      </c>
      <c r="I67" s="11">
        <v>0.42438879592693413</v>
      </c>
      <c r="J67" s="11">
        <v>3.8939520757552133</v>
      </c>
      <c r="K67" s="24">
        <v>64.141444448468704</v>
      </c>
    </row>
    <row r="68" spans="1:11">
      <c r="A68" s="17">
        <v>66</v>
      </c>
      <c r="B68" s="2">
        <v>66</v>
      </c>
      <c r="C68" s="2" t="s">
        <v>647</v>
      </c>
      <c r="D68" s="5">
        <v>12809.999357383438</v>
      </c>
      <c r="E68" s="5">
        <v>22735.522638412949</v>
      </c>
      <c r="F68" s="5">
        <v>8.5736761925154568</v>
      </c>
      <c r="G68" s="11">
        <v>0.65491751166409817</v>
      </c>
      <c r="H68" s="11">
        <v>6.2863638431178366</v>
      </c>
      <c r="I68" s="11">
        <v>0.22945270791139594</v>
      </c>
      <c r="J68" s="11">
        <v>7.9082565711658832</v>
      </c>
      <c r="K68" s="24">
        <v>53.811978227051625</v>
      </c>
    </row>
    <row r="69" spans="1:11">
      <c r="A69" s="17">
        <v>67</v>
      </c>
      <c r="B69" s="2">
        <v>67</v>
      </c>
      <c r="C69" s="2" t="s">
        <v>647</v>
      </c>
      <c r="D69" s="5">
        <v>11599.441900440232</v>
      </c>
      <c r="E69" s="5">
        <v>22481.023397176177</v>
      </c>
      <c r="F69" s="5">
        <v>8.5227251160695303</v>
      </c>
      <c r="G69" s="11">
        <v>0.58731559446532633</v>
      </c>
      <c r="H69" s="11">
        <v>6.1794080395849811</v>
      </c>
      <c r="I69" s="11">
        <v>0.28161255976626309</v>
      </c>
      <c r="J69" s="11">
        <v>11.172095061624848</v>
      </c>
      <c r="K69" s="24">
        <v>67.881573074534757</v>
      </c>
    </row>
    <row r="70" spans="1:11">
      <c r="A70" s="17">
        <v>68</v>
      </c>
      <c r="B70" s="2">
        <v>68</v>
      </c>
      <c r="C70" s="2" t="s">
        <v>648</v>
      </c>
      <c r="D70" s="5">
        <v>14968.293949319721</v>
      </c>
      <c r="E70" s="5">
        <v>21952.457022507151</v>
      </c>
      <c r="F70" s="5">
        <v>3.5079809190001541</v>
      </c>
      <c r="G70" s="11">
        <v>0.60084859486669306</v>
      </c>
      <c r="H70" s="11">
        <v>5.8839808777428821</v>
      </c>
      <c r="I70" s="11">
        <v>0.31167006410170872</v>
      </c>
      <c r="J70" s="11">
        <v>8.9596503569376615</v>
      </c>
      <c r="K70" s="24">
        <v>67.560408742540133</v>
      </c>
    </row>
    <row r="71" spans="1:11">
      <c r="A71" s="17">
        <v>69</v>
      </c>
      <c r="B71" s="2">
        <v>69</v>
      </c>
      <c r="C71" s="2" t="s">
        <v>647</v>
      </c>
      <c r="D71" s="5">
        <v>14307.811620934606</v>
      </c>
      <c r="E71" s="5">
        <v>20975.005274521682</v>
      </c>
      <c r="F71" s="5">
        <v>2.1348938743876786</v>
      </c>
      <c r="G71" s="11">
        <v>0.64727115916757616</v>
      </c>
      <c r="H71" s="11">
        <v>5.5071357047074194</v>
      </c>
      <c r="I71" s="11">
        <v>0.16880758465460532</v>
      </c>
      <c r="J71" s="11">
        <v>11.692951892951303</v>
      </c>
      <c r="K71" s="24">
        <v>71.309601451000347</v>
      </c>
    </row>
    <row r="72" spans="1:11">
      <c r="A72" s="17">
        <v>70</v>
      </c>
      <c r="B72" s="2">
        <v>70</v>
      </c>
      <c r="C72" s="2" t="s">
        <v>647</v>
      </c>
      <c r="D72" s="5">
        <v>13596.623598683598</v>
      </c>
      <c r="E72" s="5">
        <v>22934.235350475792</v>
      </c>
      <c r="F72" s="5">
        <v>5.5551990748945244</v>
      </c>
      <c r="G72" s="11">
        <v>0.59684351993273599</v>
      </c>
      <c r="H72" s="11">
        <v>6.0309373930157868</v>
      </c>
      <c r="I72" s="11">
        <v>0.33080202898147038</v>
      </c>
      <c r="J72" s="11">
        <v>7.7832771236379346</v>
      </c>
      <c r="K72" s="24">
        <v>64.87301071025486</v>
      </c>
    </row>
    <row r="73" spans="1:11">
      <c r="A73" s="17">
        <v>71</v>
      </c>
      <c r="B73" s="2">
        <v>71</v>
      </c>
      <c r="C73" s="2" t="s">
        <v>648</v>
      </c>
      <c r="D73" s="5">
        <v>12571.204474849017</v>
      </c>
      <c r="E73" s="5">
        <v>23407.925657010783</v>
      </c>
      <c r="F73" s="5">
        <v>3.4389399329093138</v>
      </c>
      <c r="G73" s="11">
        <v>0.57668624066427587</v>
      </c>
      <c r="H73" s="11">
        <v>6.9756950311431716</v>
      </c>
      <c r="I73" s="11">
        <v>0.23059888777153903</v>
      </c>
      <c r="J73" s="11">
        <v>5.7299160206460771</v>
      </c>
      <c r="K73" s="24">
        <v>66.009426677303239</v>
      </c>
    </row>
    <row r="74" spans="1:11">
      <c r="A74" s="17">
        <v>72</v>
      </c>
      <c r="B74" s="2">
        <v>72</v>
      </c>
      <c r="C74" s="2" t="s">
        <v>647</v>
      </c>
      <c r="D74" s="5">
        <v>12485.529391820981</v>
      </c>
      <c r="E74" s="5">
        <v>22928.139689610834</v>
      </c>
      <c r="F74" s="5">
        <v>3.2903922755913371</v>
      </c>
      <c r="G74" s="11">
        <v>0.6791109095764114</v>
      </c>
      <c r="H74" s="11">
        <v>6.4670635757544765</v>
      </c>
      <c r="I74" s="11">
        <v>0.26328633687127878</v>
      </c>
      <c r="J74" s="11">
        <v>8.031999174702694</v>
      </c>
      <c r="K74" s="24">
        <v>72.456333026463838</v>
      </c>
    </row>
    <row r="75" spans="1:11">
      <c r="A75" s="17">
        <v>73</v>
      </c>
      <c r="B75" s="2">
        <v>73</v>
      </c>
      <c r="C75" s="2" t="s">
        <v>647</v>
      </c>
      <c r="D75" s="5">
        <v>13178.307194945026</v>
      </c>
      <c r="E75" s="5">
        <v>22873.553068165638</v>
      </c>
      <c r="F75" s="5">
        <v>6.3283095389188091</v>
      </c>
      <c r="G75" s="11">
        <v>0.64033669254858983</v>
      </c>
      <c r="H75" s="11">
        <v>5.8927446049835304</v>
      </c>
      <c r="I75" s="11">
        <v>0.27536888231636114</v>
      </c>
      <c r="J75" s="11">
        <v>1.0799428315434385</v>
      </c>
      <c r="K75" s="24">
        <v>56.370294624036617</v>
      </c>
    </row>
    <row r="76" spans="1:11">
      <c r="A76" s="17">
        <v>74</v>
      </c>
      <c r="B76" s="2">
        <v>74</v>
      </c>
      <c r="C76" s="2" t="s">
        <v>648</v>
      </c>
      <c r="D76" s="5">
        <v>12278.441086206092</v>
      </c>
      <c r="E76" s="5">
        <v>22006.294106631249</v>
      </c>
      <c r="F76" s="5">
        <v>1.7176600860757461</v>
      </c>
      <c r="G76" s="11">
        <v>0.67013478916924218</v>
      </c>
      <c r="H76" s="11">
        <v>5.6933576785820001</v>
      </c>
      <c r="I76" s="11">
        <v>0.2414770263369701</v>
      </c>
      <c r="J76" s="11">
        <v>4.4433763655004883</v>
      </c>
      <c r="K76" s="24">
        <v>66.064038721853834</v>
      </c>
    </row>
    <row r="77" spans="1:11">
      <c r="A77" s="17">
        <v>75</v>
      </c>
      <c r="B77" s="2">
        <v>75</v>
      </c>
      <c r="C77" s="2" t="s">
        <v>646</v>
      </c>
      <c r="D77" s="5">
        <v>14617.342681273092</v>
      </c>
      <c r="E77" s="5">
        <v>23389.409709124739</v>
      </c>
      <c r="F77" s="5">
        <v>7.7176319520795076</v>
      </c>
      <c r="G77" s="11">
        <v>0.62575462669774429</v>
      </c>
      <c r="H77" s="11">
        <v>6.0852632867351382</v>
      </c>
      <c r="I77" s="11">
        <v>0.28058341914131235</v>
      </c>
      <c r="J77" s="11">
        <v>10.476013814518726</v>
      </c>
      <c r="K77" s="24">
        <v>66.314829366440065</v>
      </c>
    </row>
    <row r="78" spans="1:11">
      <c r="A78" s="17">
        <v>76</v>
      </c>
      <c r="B78" s="2">
        <v>76</v>
      </c>
      <c r="C78" s="2" t="s">
        <v>648</v>
      </c>
      <c r="D78" s="5">
        <v>12208.788798712865</v>
      </c>
      <c r="E78" s="5">
        <v>22321.56419222476</v>
      </c>
      <c r="F78" s="5">
        <v>7.1179481937697417</v>
      </c>
      <c r="G78" s="11">
        <v>0.62927066969568846</v>
      </c>
      <c r="H78" s="11">
        <v>6.1653539209293591</v>
      </c>
      <c r="I78" s="11">
        <v>0.25979564168166691</v>
      </c>
      <c r="J78" s="11">
        <v>10.273353288794485</v>
      </c>
      <c r="K78" s="24">
        <v>48.732921553734926</v>
      </c>
    </row>
    <row r="79" spans="1:11">
      <c r="A79" s="17">
        <v>77</v>
      </c>
      <c r="B79" s="2">
        <v>77</v>
      </c>
      <c r="C79" s="2" t="s">
        <v>648</v>
      </c>
      <c r="D79" s="5">
        <v>12776.351009275621</v>
      </c>
      <c r="E79" s="5">
        <v>23075.40541278242</v>
      </c>
      <c r="F79" s="5">
        <v>8.6796615894009008</v>
      </c>
      <c r="G79" s="11">
        <v>0.57217885606296481</v>
      </c>
      <c r="H79" s="11">
        <v>6.2983210198228186</v>
      </c>
      <c r="I79" s="11">
        <v>0.22161949134853787</v>
      </c>
      <c r="J79" s="11">
        <v>11.077352811903754</v>
      </c>
      <c r="K79" s="24">
        <v>63.916048404598499</v>
      </c>
    </row>
    <row r="80" spans="1:11">
      <c r="A80" s="17">
        <v>78</v>
      </c>
      <c r="B80" s="2">
        <v>78</v>
      </c>
      <c r="C80" s="2" t="s">
        <v>646</v>
      </c>
      <c r="D80" s="5">
        <v>13143.777887531704</v>
      </c>
      <c r="E80" s="5">
        <v>22431.453491662542</v>
      </c>
      <c r="F80" s="5">
        <v>2.6739579984287118</v>
      </c>
      <c r="G80" s="11">
        <v>0.58738796745165023</v>
      </c>
      <c r="H80" s="11">
        <v>5.5824079800015021</v>
      </c>
      <c r="I80" s="11">
        <v>0.30426842971862245</v>
      </c>
      <c r="J80" s="11">
        <v>11.302924053675586</v>
      </c>
      <c r="K80" s="24">
        <v>61.569224735141873</v>
      </c>
    </row>
    <row r="81" spans="1:11">
      <c r="A81" s="17">
        <v>79</v>
      </c>
      <c r="B81" s="2">
        <v>79</v>
      </c>
      <c r="C81" s="2" t="s">
        <v>648</v>
      </c>
      <c r="D81" s="5">
        <v>13057.427163627088</v>
      </c>
      <c r="E81" s="5">
        <v>22124.229592008778</v>
      </c>
      <c r="F81" s="5">
        <v>5.4750552440800746</v>
      </c>
      <c r="G81" s="11">
        <v>0.52615730418328899</v>
      </c>
      <c r="H81" s="11">
        <v>5.7929290897617953</v>
      </c>
      <c r="I81" s="11">
        <v>0.17603095365258925</v>
      </c>
      <c r="J81" s="11">
        <v>5.7558824689070649</v>
      </c>
      <c r="K81" s="24">
        <v>59.703313212996548</v>
      </c>
    </row>
    <row r="82" spans="1:11">
      <c r="A82" s="17">
        <v>80</v>
      </c>
      <c r="B82" s="2">
        <v>80</v>
      </c>
      <c r="C82" s="2" t="s">
        <v>646</v>
      </c>
      <c r="D82" s="5">
        <v>14398.775643027127</v>
      </c>
      <c r="E82" s="5">
        <v>24702.361490198673</v>
      </c>
      <c r="F82" s="5">
        <v>6.9582190635237637</v>
      </c>
      <c r="G82" s="11">
        <v>0.59123807318319455</v>
      </c>
      <c r="H82" s="11">
        <v>6.1270888967646293</v>
      </c>
      <c r="I82" s="11">
        <v>0.1755130550368631</v>
      </c>
      <c r="J82" s="11">
        <v>4.1948907699046218</v>
      </c>
      <c r="K82" s="24">
        <v>58.082230520574015</v>
      </c>
    </row>
    <row r="83" spans="1:11">
      <c r="A83" s="17">
        <v>81</v>
      </c>
      <c r="B83" s="2">
        <v>81</v>
      </c>
      <c r="C83" s="2" t="s">
        <v>646</v>
      </c>
      <c r="D83" s="5">
        <v>13458.348003265362</v>
      </c>
      <c r="E83" s="5">
        <v>20970.866618881264</v>
      </c>
      <c r="F83" s="5">
        <v>2.6571478305932104</v>
      </c>
      <c r="G83" s="11">
        <v>0.65630986568867233</v>
      </c>
      <c r="H83" s="11">
        <v>5.6620702067004309</v>
      </c>
      <c r="I83" s="11">
        <v>0.31103468735365825</v>
      </c>
      <c r="J83" s="11">
        <v>9.0200665481282591</v>
      </c>
      <c r="K83" s="24">
        <v>57.460002122981862</v>
      </c>
    </row>
    <row r="84" spans="1:11">
      <c r="A84" s="17">
        <v>82</v>
      </c>
      <c r="B84" s="2">
        <v>82</v>
      </c>
      <c r="C84" s="2" t="s">
        <v>647</v>
      </c>
      <c r="D84" s="5">
        <v>13491.955765172113</v>
      </c>
      <c r="E84" s="5">
        <v>21978.300939735636</v>
      </c>
      <c r="F84" s="5">
        <v>5.814186823574353</v>
      </c>
      <c r="G84" s="11">
        <v>0.74567336118780081</v>
      </c>
      <c r="H84" s="11">
        <v>5.2944750083144605</v>
      </c>
      <c r="I84" s="11">
        <v>0.23499195546448393</v>
      </c>
      <c r="J84" s="11">
        <v>7.7007614405468745</v>
      </c>
      <c r="K84" s="24">
        <v>62.449540553272712</v>
      </c>
    </row>
    <row r="85" spans="1:11">
      <c r="A85" s="17">
        <v>83</v>
      </c>
      <c r="B85" s="2">
        <v>83</v>
      </c>
      <c r="C85" s="2" t="s">
        <v>647</v>
      </c>
      <c r="D85" s="5">
        <v>14200.422124528066</v>
      </c>
      <c r="E85" s="5">
        <v>23195.599230347871</v>
      </c>
      <c r="F85" s="5">
        <v>5.3246828701567281</v>
      </c>
      <c r="G85" s="11">
        <v>0.6247237012474216</v>
      </c>
      <c r="H85" s="11">
        <v>6.503621342131904</v>
      </c>
      <c r="I85" s="11">
        <v>0.32733605833029289</v>
      </c>
      <c r="J85" s="11">
        <v>0.89195709599639361</v>
      </c>
      <c r="K85" s="24">
        <v>68.760948351898335</v>
      </c>
    </row>
    <row r="86" spans="1:11">
      <c r="A86" s="17">
        <v>84</v>
      </c>
      <c r="B86" s="2">
        <v>84</v>
      </c>
      <c r="C86" s="2" t="s">
        <v>646</v>
      </c>
      <c r="D86" s="5">
        <v>12409.103187788949</v>
      </c>
      <c r="E86" s="5">
        <v>22313.17131827338</v>
      </c>
      <c r="F86" s="5">
        <v>5.1266618043719134</v>
      </c>
      <c r="G86" s="11">
        <v>0.58310991981561533</v>
      </c>
      <c r="H86" s="11">
        <v>6.0043040735001192</v>
      </c>
      <c r="I86" s="11">
        <v>0.29159593337864864</v>
      </c>
      <c r="J86" s="11">
        <v>10.19858243175381</v>
      </c>
      <c r="K86" s="24">
        <v>68.629773254890281</v>
      </c>
    </row>
    <row r="87" spans="1:11">
      <c r="A87" s="17">
        <v>85</v>
      </c>
      <c r="B87" s="2">
        <v>85</v>
      </c>
      <c r="C87" s="2" t="s">
        <v>647</v>
      </c>
      <c r="D87" s="5">
        <v>12402.44227596684</v>
      </c>
      <c r="E87" s="5">
        <v>20864.963691564772</v>
      </c>
      <c r="F87" s="5">
        <v>5.6429861094393416</v>
      </c>
      <c r="G87" s="11">
        <v>0.49978099736908921</v>
      </c>
      <c r="H87" s="11">
        <v>6.0547904753308863</v>
      </c>
      <c r="I87" s="11">
        <v>0.3105472920886041</v>
      </c>
      <c r="J87" s="11">
        <v>6.1421524851155924</v>
      </c>
      <c r="K87" s="24">
        <v>66.253011566011267</v>
      </c>
    </row>
    <row r="88" spans="1:11">
      <c r="A88" s="17">
        <v>86</v>
      </c>
      <c r="B88" s="2">
        <v>86</v>
      </c>
      <c r="C88" s="2" t="s">
        <v>647</v>
      </c>
      <c r="D88" s="5">
        <v>14288.043753591572</v>
      </c>
      <c r="E88" s="5">
        <v>21896.567890962178</v>
      </c>
      <c r="F88" s="5">
        <v>4.536321245797815</v>
      </c>
      <c r="G88" s="11">
        <v>0.66312801190069881</v>
      </c>
      <c r="H88" s="11">
        <v>5.1269274838170382</v>
      </c>
      <c r="I88" s="11">
        <v>0.20719147963020079</v>
      </c>
      <c r="J88" s="11">
        <v>4.1218369433457598</v>
      </c>
      <c r="K88" s="24">
        <v>58.472160518665262</v>
      </c>
    </row>
    <row r="89" spans="1:11">
      <c r="A89" s="17">
        <v>87</v>
      </c>
      <c r="B89" s="2">
        <v>87</v>
      </c>
      <c r="C89" s="2" t="s">
        <v>647</v>
      </c>
      <c r="D89" s="5">
        <v>13459.48680431882</v>
      </c>
      <c r="E89" s="5">
        <v>24024.615588131855</v>
      </c>
      <c r="F89" s="5">
        <v>1.5482569753721762</v>
      </c>
      <c r="G89" s="11">
        <v>0.59170591061847522</v>
      </c>
      <c r="H89" s="11">
        <v>5.1474753581907713</v>
      </c>
      <c r="I89" s="11">
        <v>0.35496814396494303</v>
      </c>
      <c r="J89" s="11">
        <v>5.3979107156604629</v>
      </c>
      <c r="K89" s="24">
        <v>56.152741476564373</v>
      </c>
    </row>
    <row r="90" spans="1:11">
      <c r="A90" s="17">
        <v>88</v>
      </c>
      <c r="B90" s="2">
        <v>88</v>
      </c>
      <c r="C90" s="2" t="s">
        <v>648</v>
      </c>
      <c r="D90" s="5">
        <v>14135.757960726713</v>
      </c>
      <c r="E90" s="5">
        <v>21628.264850732667</v>
      </c>
      <c r="F90" s="5">
        <v>7.8462405812906653</v>
      </c>
      <c r="G90" s="11">
        <v>0.62061390054514054</v>
      </c>
      <c r="H90" s="11">
        <v>4.563986310278036</v>
      </c>
      <c r="I90" s="11">
        <v>0.24245123167090243</v>
      </c>
      <c r="J90" s="11">
        <v>5.7234153141397188</v>
      </c>
      <c r="K90" s="24">
        <v>67.776490398811987</v>
      </c>
    </row>
    <row r="91" spans="1:11">
      <c r="A91" s="17">
        <v>89</v>
      </c>
      <c r="B91" s="2">
        <v>89</v>
      </c>
      <c r="C91" s="2" t="s">
        <v>646</v>
      </c>
      <c r="D91" s="5">
        <v>12337.684206837528</v>
      </c>
      <c r="E91" s="5">
        <v>20892.944978185842</v>
      </c>
      <c r="F91" s="5">
        <v>3.9254207674339412</v>
      </c>
      <c r="G91" s="11">
        <v>0.65880134158651349</v>
      </c>
      <c r="H91" s="11">
        <v>5.8828995654607148</v>
      </c>
      <c r="I91" s="11">
        <v>0.24864867862290341</v>
      </c>
      <c r="J91" s="11">
        <v>10.768207294095507</v>
      </c>
      <c r="K91" s="24">
        <v>64.730109193680804</v>
      </c>
    </row>
    <row r="92" spans="1:11">
      <c r="A92" s="17">
        <v>90</v>
      </c>
      <c r="B92" s="2">
        <v>90</v>
      </c>
      <c r="C92" s="2" t="s">
        <v>647</v>
      </c>
      <c r="D92" s="5">
        <v>13501.4330410251</v>
      </c>
      <c r="E92" s="5">
        <v>22115.534311069059</v>
      </c>
      <c r="F92" s="5">
        <v>6.9591137982633953</v>
      </c>
      <c r="G92" s="11">
        <v>0.59087533553683902</v>
      </c>
      <c r="H92" s="11">
        <v>6.4114460873553831</v>
      </c>
      <c r="I92" s="11">
        <v>0.38640254175290467</v>
      </c>
      <c r="J92" s="11">
        <v>3.8582291110700213</v>
      </c>
      <c r="K92" s="24">
        <v>53.441905775159469</v>
      </c>
    </row>
    <row r="93" spans="1:11">
      <c r="A93" s="17">
        <v>91</v>
      </c>
      <c r="B93" s="2">
        <v>91</v>
      </c>
      <c r="C93" s="2" t="s">
        <v>648</v>
      </c>
      <c r="D93" s="5">
        <v>13279.253830884207</v>
      </c>
      <c r="E93" s="5">
        <v>22246.03156673722</v>
      </c>
      <c r="F93" s="5">
        <v>3.7400805330953588</v>
      </c>
      <c r="G93" s="11">
        <v>0.62001640263479207</v>
      </c>
      <c r="H93" s="11">
        <v>5.3217264306351204</v>
      </c>
      <c r="I93" s="11">
        <v>0.28654422738965879</v>
      </c>
      <c r="J93" s="11">
        <v>10.506978567614485</v>
      </c>
      <c r="K93" s="24">
        <v>73.617081693361982</v>
      </c>
    </row>
    <row r="94" spans="1:11">
      <c r="A94" s="17">
        <v>92</v>
      </c>
      <c r="B94" s="2">
        <v>92</v>
      </c>
      <c r="C94" s="2" t="s">
        <v>648</v>
      </c>
      <c r="D94" s="5">
        <v>13774.763597435756</v>
      </c>
      <c r="E94" s="5">
        <v>21248.661998469761</v>
      </c>
      <c r="F94" s="5">
        <v>2.1181975818826757</v>
      </c>
      <c r="G94" s="11">
        <v>0.75537196472287182</v>
      </c>
      <c r="H94" s="11">
        <v>6.403058319552823</v>
      </c>
      <c r="I94" s="11">
        <v>0.24485470551509936</v>
      </c>
      <c r="J94" s="11">
        <v>3.6415776971401543</v>
      </c>
      <c r="K94" s="24">
        <v>56.483978696776106</v>
      </c>
    </row>
    <row r="95" spans="1:11">
      <c r="A95" s="17">
        <v>93</v>
      </c>
      <c r="B95" s="2">
        <v>93</v>
      </c>
      <c r="C95" s="2" t="s">
        <v>648</v>
      </c>
      <c r="D95" s="5">
        <v>12960.824047009899</v>
      </c>
      <c r="E95" s="5">
        <v>21582.118624337018</v>
      </c>
      <c r="F95" s="5">
        <v>6.4148520787803207</v>
      </c>
      <c r="G95" s="11">
        <v>0.5197379886056297</v>
      </c>
      <c r="H95" s="11">
        <v>6.3192090713152389</v>
      </c>
      <c r="I95" s="11">
        <v>0.34573038343025475</v>
      </c>
      <c r="J95" s="11">
        <v>7.0972106750835779</v>
      </c>
      <c r="K95" s="24">
        <v>57.391934277454496</v>
      </c>
    </row>
    <row r="96" spans="1:11">
      <c r="A96" s="17">
        <v>94</v>
      </c>
      <c r="B96" s="2">
        <v>94</v>
      </c>
      <c r="C96" s="2" t="s">
        <v>647</v>
      </c>
      <c r="D96" s="5">
        <v>12722.957076444962</v>
      </c>
      <c r="E96" s="5">
        <v>22656.452931186795</v>
      </c>
      <c r="F96" s="5">
        <v>6.6163327855583773</v>
      </c>
      <c r="G96" s="11">
        <v>0.55463722753193001</v>
      </c>
      <c r="H96" s="11">
        <v>6.4936434668754224</v>
      </c>
      <c r="I96" s="11">
        <v>0.22500126689989886</v>
      </c>
      <c r="J96" s="11">
        <v>3.2477447437034686</v>
      </c>
      <c r="K96" s="24">
        <v>52.83419507941035</v>
      </c>
    </row>
    <row r="97" spans="1:11">
      <c r="A97" s="17">
        <v>95</v>
      </c>
      <c r="B97" s="2">
        <v>95</v>
      </c>
      <c r="C97" s="2" t="s">
        <v>647</v>
      </c>
      <c r="D97" s="5">
        <v>13416.28557861093</v>
      </c>
      <c r="E97" s="5">
        <v>22648.294422651379</v>
      </c>
      <c r="F97" s="5">
        <v>5.7610585592619898</v>
      </c>
      <c r="G97" s="11">
        <v>0.55346504696790366</v>
      </c>
      <c r="H97" s="11">
        <v>5.0395558828778881</v>
      </c>
      <c r="I97" s="11">
        <v>0.37903550709372213</v>
      </c>
      <c r="J97" s="11">
        <v>6.673635261436492</v>
      </c>
      <c r="K97" s="24">
        <v>60.645446831556185</v>
      </c>
    </row>
    <row r="98" spans="1:11">
      <c r="A98" s="17">
        <v>96</v>
      </c>
      <c r="B98" s="2">
        <v>96</v>
      </c>
      <c r="C98" s="2" t="s">
        <v>646</v>
      </c>
      <c r="D98" s="5">
        <v>13266.193032219397</v>
      </c>
      <c r="E98" s="5">
        <v>22486.260438199242</v>
      </c>
      <c r="F98" s="5">
        <v>8.0388796820507267</v>
      </c>
      <c r="G98" s="11">
        <v>0.63620862717361892</v>
      </c>
      <c r="H98" s="11">
        <v>5.3983966672296297</v>
      </c>
      <c r="I98" s="11">
        <v>0.35121776797224813</v>
      </c>
      <c r="J98" s="11">
        <v>7.6387446277206879</v>
      </c>
      <c r="K98" s="24">
        <v>59.692405974098804</v>
      </c>
    </row>
    <row r="99" spans="1:11">
      <c r="A99" s="17">
        <v>97</v>
      </c>
      <c r="B99" s="2">
        <v>97</v>
      </c>
      <c r="C99" s="2" t="s">
        <v>648</v>
      </c>
      <c r="D99" s="5">
        <v>14124.135982680107</v>
      </c>
      <c r="E99" s="5">
        <v>21451.723971039901</v>
      </c>
      <c r="F99" s="5">
        <v>4.9890326221948342</v>
      </c>
      <c r="G99" s="11">
        <v>0.62386806678550788</v>
      </c>
      <c r="H99" s="11">
        <v>6.2406154125107456</v>
      </c>
      <c r="I99" s="11">
        <v>0.35612361381437951</v>
      </c>
      <c r="J99" s="11">
        <v>6.4364194972657502</v>
      </c>
      <c r="K99" s="24">
        <v>59.992044058533068</v>
      </c>
    </row>
    <row r="100" spans="1:11">
      <c r="A100" s="17">
        <v>98</v>
      </c>
      <c r="B100" s="2">
        <v>98</v>
      </c>
      <c r="C100" s="2" t="s">
        <v>646</v>
      </c>
      <c r="D100" s="5">
        <v>12762.081378465316</v>
      </c>
      <c r="E100" s="5">
        <v>20924.801394357492</v>
      </c>
      <c r="F100" s="5">
        <v>3.3814274683727561</v>
      </c>
      <c r="G100" s="11">
        <v>0.55149732458521616</v>
      </c>
      <c r="H100" s="11">
        <v>6.6210893048684589</v>
      </c>
      <c r="I100" s="11">
        <v>0.29026219814410981</v>
      </c>
      <c r="J100" s="11">
        <v>8.164479717259244</v>
      </c>
      <c r="K100" s="24">
        <v>57.900334487189596</v>
      </c>
    </row>
    <row r="101" spans="1:11">
      <c r="A101" s="17">
        <v>99</v>
      </c>
      <c r="B101" s="2">
        <v>99</v>
      </c>
      <c r="C101" s="2" t="s">
        <v>647</v>
      </c>
      <c r="D101" s="5">
        <v>13675.602754343507</v>
      </c>
      <c r="E101" s="5">
        <v>22498.922650811</v>
      </c>
      <c r="F101" s="5">
        <v>3.8058679383148117</v>
      </c>
      <c r="G101" s="11">
        <v>0.56108459465467608</v>
      </c>
      <c r="H101" s="11">
        <v>5.7849025763345558</v>
      </c>
      <c r="I101" s="11">
        <v>0.36083590602131155</v>
      </c>
      <c r="J101" s="11">
        <v>1.822325697235418</v>
      </c>
      <c r="K101" s="24">
        <v>71.650016528699055</v>
      </c>
    </row>
    <row r="102" spans="1:11">
      <c r="A102" s="17">
        <v>100</v>
      </c>
      <c r="B102" s="2">
        <v>100</v>
      </c>
      <c r="C102" s="2" t="s">
        <v>648</v>
      </c>
      <c r="D102" s="5">
        <v>12565.888478317154</v>
      </c>
      <c r="E102" s="5">
        <v>21508.551644273684</v>
      </c>
      <c r="F102" s="5">
        <v>4.2215237399041214</v>
      </c>
      <c r="G102" s="11">
        <v>0.58087284026332786</v>
      </c>
      <c r="H102" s="11">
        <v>6.0004057613604651</v>
      </c>
      <c r="I102" s="11">
        <v>0.1927024612105197</v>
      </c>
      <c r="J102" s="11">
        <v>5.1873562150516124</v>
      </c>
      <c r="K102" s="24">
        <v>62.452157380407428</v>
      </c>
    </row>
    <row r="103" spans="1:11">
      <c r="A103" s="17">
        <v>101</v>
      </c>
      <c r="B103" s="2">
        <v>101</v>
      </c>
      <c r="C103" s="2" t="s">
        <v>648</v>
      </c>
      <c r="D103" s="5">
        <v>12062.344235570143</v>
      </c>
      <c r="E103" s="5">
        <v>20732.932800455746</v>
      </c>
      <c r="F103" s="5">
        <v>2.4399550395237455</v>
      </c>
      <c r="G103" s="11">
        <v>0.58127509941987232</v>
      </c>
      <c r="H103" s="11">
        <v>5.4764766291747797</v>
      </c>
      <c r="I103" s="11">
        <v>0.28031408260132595</v>
      </c>
      <c r="J103" s="11">
        <v>3.7724794447197825</v>
      </c>
      <c r="K103" s="24">
        <v>64.945439934340087</v>
      </c>
    </row>
    <row r="104" spans="1:11">
      <c r="A104" s="17">
        <v>102</v>
      </c>
      <c r="B104" s="2">
        <v>102</v>
      </c>
      <c r="C104" s="2" t="s">
        <v>648</v>
      </c>
      <c r="D104" s="5">
        <v>14175.826886681696</v>
      </c>
      <c r="E104" s="5">
        <v>22996.919999058737</v>
      </c>
      <c r="F104" s="5">
        <v>4.9466357521232638</v>
      </c>
      <c r="G104" s="11">
        <v>0.69884548322879714</v>
      </c>
      <c r="H104" s="11">
        <v>5.7719768261619571</v>
      </c>
      <c r="I104" s="11">
        <v>0.31552197163093298</v>
      </c>
      <c r="J104" s="11">
        <v>7.1075274090802383</v>
      </c>
      <c r="K104" s="24">
        <v>67.493205587718151</v>
      </c>
    </row>
    <row r="105" spans="1:11">
      <c r="A105" s="17">
        <v>103</v>
      </c>
      <c r="B105" s="2">
        <v>103</v>
      </c>
      <c r="C105" s="2" t="s">
        <v>646</v>
      </c>
      <c r="D105" s="5">
        <v>13049.67838245482</v>
      </c>
      <c r="E105" s="5">
        <v>22968.165414567484</v>
      </c>
      <c r="F105" s="5">
        <v>9.2322714551364768</v>
      </c>
      <c r="G105" s="11">
        <v>0.62657223573187371</v>
      </c>
      <c r="H105" s="11">
        <v>6.0847868427014724</v>
      </c>
      <c r="I105" s="11">
        <v>0.19983805078210937</v>
      </c>
      <c r="J105" s="11">
        <v>9.2462853141072152</v>
      </c>
      <c r="K105" s="24">
        <v>57.09534536550764</v>
      </c>
    </row>
    <row r="106" spans="1:11">
      <c r="A106" s="17">
        <v>104</v>
      </c>
      <c r="B106" s="2">
        <v>104</v>
      </c>
      <c r="C106" s="2" t="s">
        <v>647</v>
      </c>
      <c r="D106" s="5">
        <v>13310.529079941423</v>
      </c>
      <c r="E106" s="5">
        <v>21960.105759262224</v>
      </c>
      <c r="F106" s="5">
        <v>6.3774413213941514</v>
      </c>
      <c r="G106" s="11">
        <v>0.64710496934712869</v>
      </c>
      <c r="H106" s="11">
        <v>5.3756881289665976</v>
      </c>
      <c r="I106" s="11">
        <v>0.32685444187747636</v>
      </c>
      <c r="J106" s="11">
        <v>10.661256666626603</v>
      </c>
      <c r="K106" s="24">
        <v>52.068200474538756</v>
      </c>
    </row>
    <row r="107" spans="1:11">
      <c r="A107" s="17">
        <v>105</v>
      </c>
      <c r="B107" s="2">
        <v>105</v>
      </c>
      <c r="C107" s="2" t="s">
        <v>647</v>
      </c>
      <c r="D107" s="5">
        <v>12170.293980712975</v>
      </c>
      <c r="E107" s="5">
        <v>23475.768504794833</v>
      </c>
      <c r="F107" s="5">
        <v>2.3394736169457317</v>
      </c>
      <c r="G107" s="11">
        <v>0.62697617798112337</v>
      </c>
      <c r="H107" s="11">
        <v>5.8632933052728582</v>
      </c>
      <c r="I107" s="11">
        <v>0.31273819342188292</v>
      </c>
      <c r="J107" s="11">
        <v>1.8012847982803111</v>
      </c>
      <c r="K107" s="24">
        <v>57.075427139259048</v>
      </c>
    </row>
    <row r="108" spans="1:11">
      <c r="A108" s="17">
        <v>106</v>
      </c>
      <c r="B108" s="2">
        <v>106</v>
      </c>
      <c r="C108" s="2" t="s">
        <v>646</v>
      </c>
      <c r="D108" s="5">
        <v>13529.480493385725</v>
      </c>
      <c r="E108" s="5">
        <v>21666.110005298397</v>
      </c>
      <c r="F108" s="5">
        <v>3.9681782427187571</v>
      </c>
      <c r="G108" s="11">
        <v>0.55437154823157475</v>
      </c>
      <c r="H108" s="11">
        <v>5.8890075583655594</v>
      </c>
      <c r="I108" s="11">
        <v>0.26162598902103129</v>
      </c>
      <c r="J108" s="11">
        <v>7.0574497785449681</v>
      </c>
      <c r="K108" s="24">
        <v>55.206223724428312</v>
      </c>
    </row>
    <row r="109" spans="1:11">
      <c r="A109" s="17">
        <v>107</v>
      </c>
      <c r="B109" s="2">
        <v>107</v>
      </c>
      <c r="C109" s="2" t="s">
        <v>646</v>
      </c>
      <c r="D109" s="5">
        <v>14066.977878652486</v>
      </c>
      <c r="E109" s="5">
        <v>22004.622227995715</v>
      </c>
      <c r="F109" s="5">
        <v>2.2488180085993079</v>
      </c>
      <c r="G109" s="11">
        <v>0.50895297989773103</v>
      </c>
      <c r="H109" s="11">
        <v>5.5886007721016391</v>
      </c>
      <c r="I109" s="11">
        <v>0.21429283522549669</v>
      </c>
      <c r="J109" s="11">
        <v>3.4074285785121434</v>
      </c>
      <c r="K109" s="24">
        <v>60.89308969857457</v>
      </c>
    </row>
    <row r="110" spans="1:11">
      <c r="A110" s="17">
        <v>108</v>
      </c>
      <c r="B110" s="2">
        <v>108</v>
      </c>
      <c r="C110" s="2" t="s">
        <v>648</v>
      </c>
      <c r="D110" s="5">
        <v>12735.059722441454</v>
      </c>
      <c r="E110" s="5">
        <v>24124.487656080892</v>
      </c>
      <c r="F110" s="5">
        <v>5.8948024236151539</v>
      </c>
      <c r="G110" s="11">
        <v>0.56237758387287617</v>
      </c>
      <c r="H110" s="11">
        <v>6.2050041620067837</v>
      </c>
      <c r="I110" s="11">
        <v>0.3235334535788934</v>
      </c>
      <c r="J110" s="11">
        <v>8.9289693504045751</v>
      </c>
      <c r="K110" s="24">
        <v>60.885944622745868</v>
      </c>
    </row>
    <row r="111" spans="1:11">
      <c r="A111" s="17">
        <v>109</v>
      </c>
      <c r="B111" s="2">
        <v>109</v>
      </c>
      <c r="C111" s="2" t="s">
        <v>647</v>
      </c>
      <c r="D111" s="5">
        <v>12968.293499621885</v>
      </c>
      <c r="E111" s="5">
        <v>20272.911289793701</v>
      </c>
      <c r="F111" s="5">
        <v>8.1916841076754352</v>
      </c>
      <c r="G111" s="11">
        <v>0.60129879099695249</v>
      </c>
      <c r="H111" s="11">
        <v>5.704383044476284</v>
      </c>
      <c r="I111" s="11">
        <v>0.32483156499622057</v>
      </c>
      <c r="J111" s="11">
        <v>7.3512147775457821</v>
      </c>
      <c r="K111" s="24">
        <v>54.620570226672683</v>
      </c>
    </row>
    <row r="112" spans="1:11">
      <c r="A112" s="17">
        <v>110</v>
      </c>
      <c r="B112" s="2">
        <v>110</v>
      </c>
      <c r="C112" s="2" t="s">
        <v>647</v>
      </c>
      <c r="D112" s="5">
        <v>12941.818563600626</v>
      </c>
      <c r="E112" s="5">
        <v>20446.942191483249</v>
      </c>
      <c r="F112" s="5">
        <v>4.7394667014550649</v>
      </c>
      <c r="G112" s="11">
        <v>0.58242047517414908</v>
      </c>
      <c r="H112" s="11">
        <v>5.3601537006590512</v>
      </c>
      <c r="I112" s="11">
        <v>0.33062529973632993</v>
      </c>
      <c r="J112" s="11">
        <v>10.12808959981189</v>
      </c>
      <c r="K112" s="24">
        <v>60.168607832567616</v>
      </c>
    </row>
    <row r="113" spans="1:11">
      <c r="A113" s="17">
        <v>111</v>
      </c>
      <c r="B113" s="2">
        <v>111</v>
      </c>
      <c r="C113" s="2" t="s">
        <v>646</v>
      </c>
      <c r="D113" s="5">
        <v>12520.449440895552</v>
      </c>
      <c r="E113" s="5">
        <v>22945.374727896269</v>
      </c>
      <c r="F113" s="5">
        <v>2.3275872014955965</v>
      </c>
      <c r="G113" s="11">
        <v>0.55499753404437802</v>
      </c>
      <c r="H113" s="11">
        <v>5.4446097778201725</v>
      </c>
      <c r="I113" s="11">
        <v>0.29499138789062274</v>
      </c>
      <c r="J113" s="11">
        <v>6.0412587554268145</v>
      </c>
      <c r="K113" s="24">
        <v>55.230586764302828</v>
      </c>
    </row>
    <row r="114" spans="1:11">
      <c r="A114" s="17">
        <v>112</v>
      </c>
      <c r="B114" s="2">
        <v>112</v>
      </c>
      <c r="C114" s="2" t="s">
        <v>648</v>
      </c>
      <c r="D114" s="5">
        <v>13396.146068995384</v>
      </c>
      <c r="E114" s="5">
        <v>22214.755123968207</v>
      </c>
      <c r="F114" s="5">
        <v>4.5802283196571878</v>
      </c>
      <c r="G114" s="11">
        <v>0.63153623715043072</v>
      </c>
      <c r="H114" s="11">
        <v>5.5939289065110493</v>
      </c>
      <c r="I114" s="11">
        <v>0.36636425429562225</v>
      </c>
      <c r="J114" s="11">
        <v>2.5036957763998986</v>
      </c>
      <c r="K114" s="24">
        <v>54.595706576389787</v>
      </c>
    </row>
    <row r="115" spans="1:11">
      <c r="A115" s="17">
        <v>113</v>
      </c>
      <c r="B115" s="2">
        <v>113</v>
      </c>
      <c r="C115" s="2" t="s">
        <v>647</v>
      </c>
      <c r="D115" s="5">
        <v>13358.597466545851</v>
      </c>
      <c r="E115" s="5">
        <v>22561.358893653523</v>
      </c>
      <c r="F115" s="5">
        <v>5.6790927231595631</v>
      </c>
      <c r="G115" s="11">
        <v>0.70198775497265165</v>
      </c>
      <c r="H115" s="11">
        <v>5.547423655340193</v>
      </c>
      <c r="I115" s="11">
        <v>0.441497591327352</v>
      </c>
      <c r="J115" s="11">
        <v>9.3658371991799392</v>
      </c>
      <c r="K115" s="24">
        <v>56.286601665762831</v>
      </c>
    </row>
    <row r="116" spans="1:11">
      <c r="A116" s="17">
        <v>114</v>
      </c>
      <c r="B116" s="2">
        <v>114</v>
      </c>
      <c r="C116" s="2" t="s">
        <v>648</v>
      </c>
      <c r="D116" s="5">
        <v>13058.085296730658</v>
      </c>
      <c r="E116" s="5">
        <v>22356.929609486106</v>
      </c>
      <c r="F116" s="5">
        <v>2.3318385471675427</v>
      </c>
      <c r="G116" s="11">
        <v>0.54229379965254343</v>
      </c>
      <c r="H116" s="11">
        <v>6.5896479199965903</v>
      </c>
      <c r="I116" s="11">
        <v>0.17339347448752962</v>
      </c>
      <c r="J116" s="11">
        <v>7.1222676792334356</v>
      </c>
      <c r="K116" s="24">
        <v>65.137006850613673</v>
      </c>
    </row>
    <row r="117" spans="1:11">
      <c r="A117" s="17">
        <v>115</v>
      </c>
      <c r="B117" s="2">
        <v>115</v>
      </c>
      <c r="C117" s="2" t="s">
        <v>647</v>
      </c>
      <c r="D117" s="5">
        <v>12180.251128707985</v>
      </c>
      <c r="E117" s="5">
        <v>20512.469465756585</v>
      </c>
      <c r="F117" s="5">
        <v>5.9795039789669389</v>
      </c>
      <c r="G117" s="11">
        <v>0.62997756863187537</v>
      </c>
      <c r="H117" s="11">
        <v>5.5816541004502902</v>
      </c>
      <c r="I117" s="11">
        <v>0.28909136689505432</v>
      </c>
      <c r="J117" s="11">
        <v>11.477741038493466</v>
      </c>
      <c r="K117" s="24">
        <v>61.664113162548531</v>
      </c>
    </row>
    <row r="118" spans="1:11">
      <c r="A118" s="17">
        <v>116</v>
      </c>
      <c r="B118" s="2">
        <v>116</v>
      </c>
      <c r="C118" s="2" t="s">
        <v>646</v>
      </c>
      <c r="D118" s="5">
        <v>13807.765749557964</v>
      </c>
      <c r="E118" s="5">
        <v>21367.514425036934</v>
      </c>
      <c r="F118" s="5">
        <v>7.1390883354815813</v>
      </c>
      <c r="G118" s="11">
        <v>0.62394860588829038</v>
      </c>
      <c r="H118" s="11">
        <v>5.9865109475514906</v>
      </c>
      <c r="I118" s="11">
        <v>0.27885577373082926</v>
      </c>
      <c r="J118" s="11">
        <v>9.8371766175435802</v>
      </c>
      <c r="K118" s="24">
        <v>61.519004409173888</v>
      </c>
    </row>
    <row r="119" spans="1:11">
      <c r="A119" s="17">
        <v>117</v>
      </c>
      <c r="B119" s="2">
        <v>117</v>
      </c>
      <c r="C119" s="2" t="s">
        <v>648</v>
      </c>
      <c r="D119" s="5">
        <v>13296.003198998895</v>
      </c>
      <c r="E119" s="5">
        <v>22951.932639443403</v>
      </c>
      <c r="F119" s="5">
        <v>4.6804386104959192</v>
      </c>
      <c r="G119" s="11">
        <v>0.54098397950729127</v>
      </c>
      <c r="H119" s="11">
        <v>5.9877971503748846</v>
      </c>
      <c r="I119" s="11">
        <v>0.33907480102199772</v>
      </c>
      <c r="J119" s="11">
        <v>6.1634443906453713</v>
      </c>
      <c r="K119" s="24">
        <v>42.448895627446475</v>
      </c>
    </row>
    <row r="120" spans="1:11">
      <c r="A120" s="17">
        <v>118</v>
      </c>
      <c r="B120" s="2">
        <v>118</v>
      </c>
      <c r="C120" s="2" t="s">
        <v>648</v>
      </c>
      <c r="D120" s="5">
        <v>13850.77757299421</v>
      </c>
      <c r="E120" s="5">
        <v>22301.837536360399</v>
      </c>
      <c r="F120" s="5">
        <v>4.6556598808429115</v>
      </c>
      <c r="G120" s="11">
        <v>0.54565412540687253</v>
      </c>
      <c r="H120" s="11">
        <v>5.5875076957692578</v>
      </c>
      <c r="I120" s="11">
        <v>0.26132805101794476</v>
      </c>
      <c r="J120" s="11">
        <v>9.0806428014824156</v>
      </c>
      <c r="K120" s="24">
        <v>64.578272539817775</v>
      </c>
    </row>
    <row r="121" spans="1:11">
      <c r="A121" s="17">
        <v>119</v>
      </c>
      <c r="B121" s="2">
        <v>119</v>
      </c>
      <c r="C121" s="2" t="s">
        <v>647</v>
      </c>
      <c r="D121" s="5">
        <v>14829.950710233041</v>
      </c>
      <c r="E121" s="5">
        <v>20223.62759089403</v>
      </c>
      <c r="F121" s="5">
        <v>6.664862655572513</v>
      </c>
      <c r="G121" s="11">
        <v>0.68984604887082246</v>
      </c>
      <c r="H121" s="11">
        <v>6.2167172346698258</v>
      </c>
      <c r="I121" s="11">
        <v>0.19632658112825085</v>
      </c>
      <c r="J121" s="11">
        <v>12.314778847271871</v>
      </c>
      <c r="K121" s="24">
        <v>60.061090369858633</v>
      </c>
    </row>
    <row r="122" spans="1:11">
      <c r="A122" s="17">
        <v>120</v>
      </c>
      <c r="B122" s="2">
        <v>120</v>
      </c>
      <c r="C122" s="2" t="s">
        <v>648</v>
      </c>
      <c r="D122" s="5">
        <v>13221.535478120293</v>
      </c>
      <c r="E122" s="5">
        <v>22854.157979963493</v>
      </c>
      <c r="F122" s="5">
        <v>7.5923257074528081</v>
      </c>
      <c r="G122" s="11">
        <v>0.57090475488512316</v>
      </c>
      <c r="H122" s="11">
        <v>5.6795064897925691</v>
      </c>
      <c r="I122" s="11">
        <v>0.2592419729496851</v>
      </c>
      <c r="J122" s="11">
        <v>6.7738196247185885</v>
      </c>
      <c r="K122" s="24">
        <v>62.995858208939538</v>
      </c>
    </row>
    <row r="123" spans="1:11">
      <c r="A123" s="17">
        <v>121</v>
      </c>
      <c r="B123" s="2">
        <v>121</v>
      </c>
      <c r="C123" s="2" t="s">
        <v>646</v>
      </c>
      <c r="D123" s="5">
        <v>13081.161337364554</v>
      </c>
      <c r="E123" s="5">
        <v>20683.487097812322</v>
      </c>
      <c r="F123" s="5">
        <v>5.8391553454448584</v>
      </c>
      <c r="G123" s="11">
        <v>0.67612223562609874</v>
      </c>
      <c r="H123" s="11">
        <v>5.9860158771049861</v>
      </c>
      <c r="I123" s="11">
        <v>0.36977624059956726</v>
      </c>
      <c r="J123" s="11">
        <v>7.5526675614904422</v>
      </c>
      <c r="K123" s="24">
        <v>62.046890499804888</v>
      </c>
    </row>
    <row r="124" spans="1:11">
      <c r="A124" s="17">
        <v>122</v>
      </c>
      <c r="B124" s="2">
        <v>122</v>
      </c>
      <c r="C124" s="2" t="s">
        <v>647</v>
      </c>
      <c r="D124" s="5">
        <v>12386.750536503476</v>
      </c>
      <c r="E124" s="5">
        <v>23406.029133183911</v>
      </c>
      <c r="F124" s="5">
        <v>4.1619859212751251</v>
      </c>
      <c r="G124" s="11">
        <v>0.52655064918217254</v>
      </c>
      <c r="H124" s="11">
        <v>6.799587199440051</v>
      </c>
      <c r="I124" s="11">
        <v>0.22286420361480852</v>
      </c>
      <c r="J124" s="11">
        <v>6.1396460571453177</v>
      </c>
      <c r="K124" s="24">
        <v>69.190214192078386</v>
      </c>
    </row>
    <row r="125" spans="1:11">
      <c r="A125" s="17">
        <v>123</v>
      </c>
      <c r="B125" s="2">
        <v>123</v>
      </c>
      <c r="C125" s="2" t="s">
        <v>646</v>
      </c>
      <c r="D125" s="5">
        <v>13405.806380657103</v>
      </c>
      <c r="E125" s="5">
        <v>21868.509922569065</v>
      </c>
      <c r="F125" s="5">
        <v>6.9115030648454265</v>
      </c>
      <c r="G125" s="11">
        <v>0.64756613674835539</v>
      </c>
      <c r="H125" s="11">
        <v>6.2901224571611998</v>
      </c>
      <c r="I125" s="11">
        <v>0.20014059720508159</v>
      </c>
      <c r="J125" s="11">
        <v>6.3062598560808043</v>
      </c>
      <c r="K125" s="24">
        <v>56.690032974867975</v>
      </c>
    </row>
    <row r="126" spans="1:11">
      <c r="A126" s="17">
        <v>124</v>
      </c>
      <c r="B126" s="2">
        <v>124</v>
      </c>
      <c r="C126" s="2" t="s">
        <v>647</v>
      </c>
      <c r="D126" s="5">
        <v>12402.23218269073</v>
      </c>
      <c r="E126" s="5">
        <v>21142.573306860431</v>
      </c>
      <c r="F126" s="5">
        <v>4.6012003596906723</v>
      </c>
      <c r="G126" s="11">
        <v>0.62679103778355061</v>
      </c>
      <c r="H126" s="11">
        <v>5.9602178051545103</v>
      </c>
      <c r="I126" s="11">
        <v>0.361548089767457</v>
      </c>
      <c r="J126" s="11">
        <v>10.383279617395008</v>
      </c>
      <c r="K126" s="24">
        <v>52.778293583807866</v>
      </c>
    </row>
    <row r="127" spans="1:11">
      <c r="A127" s="17">
        <v>125</v>
      </c>
      <c r="B127" s="2">
        <v>125</v>
      </c>
      <c r="C127" s="2" t="s">
        <v>646</v>
      </c>
      <c r="D127" s="5">
        <v>12012.82907026887</v>
      </c>
      <c r="E127" s="5">
        <v>21718.423174206255</v>
      </c>
      <c r="F127" s="5">
        <v>6.9223537570515035</v>
      </c>
      <c r="G127" s="11">
        <v>0.49737554620951419</v>
      </c>
      <c r="H127" s="11">
        <v>6.0353268542518741</v>
      </c>
      <c r="I127" s="11">
        <v>0.41353457725519549</v>
      </c>
      <c r="J127" s="11">
        <v>8.0173207467490535</v>
      </c>
      <c r="K127" s="24">
        <v>54.630961685149671</v>
      </c>
    </row>
    <row r="128" spans="1:11">
      <c r="A128" s="17">
        <v>126</v>
      </c>
      <c r="B128" s="2">
        <v>126</v>
      </c>
      <c r="C128" s="2" t="s">
        <v>646</v>
      </c>
      <c r="D128" s="5">
        <v>12470.479073496042</v>
      </c>
      <c r="E128" s="5">
        <v>21644.118537096365</v>
      </c>
      <c r="F128" s="5">
        <v>2.430704024579434</v>
      </c>
      <c r="G128" s="11">
        <v>0.54770774785429244</v>
      </c>
      <c r="H128" s="11">
        <v>6.0998173775248539</v>
      </c>
      <c r="I128" s="11">
        <v>0.22822664877323406</v>
      </c>
      <c r="J128" s="11">
        <v>11.45616174862457</v>
      </c>
      <c r="K128" s="24">
        <v>55.624567155698244</v>
      </c>
    </row>
    <row r="129" spans="1:11">
      <c r="A129" s="17">
        <v>127</v>
      </c>
      <c r="B129" s="2">
        <v>127</v>
      </c>
      <c r="C129" s="2" t="s">
        <v>646</v>
      </c>
      <c r="D129" s="5">
        <v>15334.187305821777</v>
      </c>
      <c r="E129" s="5">
        <v>22694.422288622736</v>
      </c>
      <c r="F129" s="5">
        <v>3.687085123335244</v>
      </c>
      <c r="G129" s="11">
        <v>0.61047133455649605</v>
      </c>
      <c r="H129" s="11">
        <v>5.7836251965488223</v>
      </c>
      <c r="I129" s="11">
        <v>0.25604789907176384</v>
      </c>
      <c r="J129" s="11">
        <v>4.4046304085898997</v>
      </c>
      <c r="K129" s="24">
        <v>65.893163702459972</v>
      </c>
    </row>
    <row r="130" spans="1:11">
      <c r="A130" s="17">
        <v>128</v>
      </c>
      <c r="B130" s="2">
        <v>128</v>
      </c>
      <c r="C130" s="2" t="s">
        <v>648</v>
      </c>
      <c r="D130" s="5">
        <v>12724.459561692291</v>
      </c>
      <c r="E130" s="5">
        <v>24040.349391725176</v>
      </c>
      <c r="F130" s="5">
        <v>5.9673382978253429</v>
      </c>
      <c r="G130" s="11">
        <v>0.59483384490595204</v>
      </c>
      <c r="H130" s="11">
        <v>6.6669220445020834</v>
      </c>
      <c r="I130" s="11">
        <v>0.2620527433323514</v>
      </c>
      <c r="J130" s="11">
        <v>6.3161873479979009</v>
      </c>
      <c r="K130" s="24">
        <v>60.79968034737449</v>
      </c>
    </row>
    <row r="131" spans="1:11">
      <c r="A131" s="17">
        <v>129</v>
      </c>
      <c r="B131" s="2">
        <v>129</v>
      </c>
      <c r="C131" s="2" t="s">
        <v>647</v>
      </c>
      <c r="D131" s="5">
        <v>13680.477873318685</v>
      </c>
      <c r="E131" s="5">
        <v>20604.815919795801</v>
      </c>
      <c r="F131" s="5">
        <v>4.9966405787990951</v>
      </c>
      <c r="G131" s="11">
        <v>0.64224675342193227</v>
      </c>
      <c r="H131" s="11">
        <v>7.226645750307565</v>
      </c>
      <c r="I131" s="11">
        <v>0.18423657443192498</v>
      </c>
      <c r="J131" s="11">
        <v>5.8197108944026228</v>
      </c>
      <c r="K131" s="24">
        <v>58.189338392948869</v>
      </c>
    </row>
    <row r="132" spans="1:11">
      <c r="A132" s="17">
        <v>130</v>
      </c>
      <c r="B132" s="2">
        <v>130</v>
      </c>
      <c r="C132" s="2" t="s">
        <v>647</v>
      </c>
      <c r="D132" s="5">
        <v>12045.695935054189</v>
      </c>
      <c r="E132" s="5">
        <v>22253.063609241071</v>
      </c>
      <c r="F132" s="5">
        <v>4.1438661871388902</v>
      </c>
      <c r="G132" s="11">
        <v>0.58193350035144253</v>
      </c>
      <c r="H132" s="11">
        <v>4.8930346374629003</v>
      </c>
      <c r="I132" s="11">
        <v>0.29016915195213189</v>
      </c>
      <c r="J132" s="11">
        <v>8.1610129163076159</v>
      </c>
      <c r="K132" s="24">
        <v>64.082053850019932</v>
      </c>
    </row>
    <row r="133" spans="1:11">
      <c r="A133" s="17">
        <v>131</v>
      </c>
      <c r="B133" s="2">
        <v>131</v>
      </c>
      <c r="C133" s="2" t="s">
        <v>647</v>
      </c>
      <c r="D133" s="5">
        <v>13429.168912122057</v>
      </c>
      <c r="E133" s="5">
        <v>20421.444962266396</v>
      </c>
      <c r="F133" s="5">
        <v>6.8007565946181856</v>
      </c>
      <c r="G133" s="11">
        <v>0.54564764238311914</v>
      </c>
      <c r="H133" s="11">
        <v>5.7346720425959425</v>
      </c>
      <c r="I133" s="11">
        <v>0.16709354505521334</v>
      </c>
      <c r="J133" s="11">
        <v>6.845549300651645</v>
      </c>
      <c r="K133" s="24">
        <v>65.46788757553459</v>
      </c>
    </row>
    <row r="134" spans="1:11">
      <c r="A134" s="17">
        <v>132</v>
      </c>
      <c r="B134" s="2">
        <v>132</v>
      </c>
      <c r="C134" s="2" t="s">
        <v>646</v>
      </c>
      <c r="D134" s="5">
        <v>12679.736751348335</v>
      </c>
      <c r="E134" s="5">
        <v>23490.983896408143</v>
      </c>
      <c r="F134" s="5">
        <v>4.57283455712696</v>
      </c>
      <c r="G134" s="11">
        <v>0.53557165206148061</v>
      </c>
      <c r="H134" s="11">
        <v>6.1054224572830513</v>
      </c>
      <c r="I134" s="11">
        <v>0.13710311883143733</v>
      </c>
      <c r="J134" s="11">
        <v>5.6665168527709726</v>
      </c>
      <c r="K134" s="24">
        <v>60.939532691461139</v>
      </c>
    </row>
    <row r="135" spans="1:11">
      <c r="A135" s="17">
        <v>133</v>
      </c>
      <c r="B135" s="2">
        <v>133</v>
      </c>
      <c r="C135" s="2" t="s">
        <v>646</v>
      </c>
      <c r="D135" s="5">
        <v>13630.182816310642</v>
      </c>
      <c r="E135" s="5">
        <v>24391.556227783003</v>
      </c>
      <c r="F135" s="5">
        <v>3.9236394319068566</v>
      </c>
      <c r="G135" s="11">
        <v>0.64040563701273645</v>
      </c>
      <c r="H135" s="11">
        <v>5.8355262254178193</v>
      </c>
      <c r="I135" s="11">
        <v>0.32928051892396981</v>
      </c>
      <c r="J135" s="11">
        <v>9.0553857196281093</v>
      </c>
      <c r="K135" s="24">
        <v>54.226074054856511</v>
      </c>
    </row>
    <row r="136" spans="1:11">
      <c r="A136" s="17">
        <v>134</v>
      </c>
      <c r="B136" s="2">
        <v>134</v>
      </c>
      <c r="C136" s="2" t="s">
        <v>646</v>
      </c>
      <c r="D136" s="5">
        <v>14592.952761855648</v>
      </c>
      <c r="E136" s="5">
        <v>22673.741970720148</v>
      </c>
      <c r="F136" s="5">
        <v>8.1988202950533449</v>
      </c>
      <c r="G136" s="11">
        <v>0.5882681625997066</v>
      </c>
      <c r="H136" s="11">
        <v>6.0974170211124452</v>
      </c>
      <c r="I136" s="11">
        <v>0.25362365076332027</v>
      </c>
      <c r="J136" s="11">
        <v>10.21049251183317</v>
      </c>
      <c r="K136" s="24">
        <v>63.219585551448475</v>
      </c>
    </row>
    <row r="137" spans="1:11">
      <c r="A137" s="17">
        <v>135</v>
      </c>
      <c r="B137" s="2">
        <v>135</v>
      </c>
      <c r="C137" s="2" t="s">
        <v>647</v>
      </c>
      <c r="D137" s="5">
        <v>13091.123260206748</v>
      </c>
      <c r="E137" s="5">
        <v>22917.190396583028</v>
      </c>
      <c r="F137" s="5">
        <v>2.3554812348329577</v>
      </c>
      <c r="G137" s="11">
        <v>0.60682644146145326</v>
      </c>
      <c r="H137" s="11">
        <v>6.188092359486685</v>
      </c>
      <c r="I137" s="11">
        <v>0.44842397326603534</v>
      </c>
      <c r="J137" s="11">
        <v>7.5286000325334941</v>
      </c>
      <c r="K137" s="24">
        <v>68.969323641883605</v>
      </c>
    </row>
    <row r="138" spans="1:11">
      <c r="A138" s="17">
        <v>136</v>
      </c>
      <c r="B138" s="2">
        <v>136</v>
      </c>
      <c r="C138" s="2" t="s">
        <v>647</v>
      </c>
      <c r="D138" s="5">
        <v>13241.249230528572</v>
      </c>
      <c r="E138" s="5">
        <v>22425.396711696085</v>
      </c>
      <c r="F138" s="5">
        <v>6.1995707664727959</v>
      </c>
      <c r="G138" s="11">
        <v>0.61146417224226757</v>
      </c>
      <c r="H138" s="11">
        <v>6.1767277968112317</v>
      </c>
      <c r="I138" s="11">
        <v>0.33813629265479905</v>
      </c>
      <c r="J138" s="11">
        <v>2.4269968978436269</v>
      </c>
      <c r="K138" s="24">
        <v>61.02732155307622</v>
      </c>
    </row>
    <row r="139" spans="1:11">
      <c r="A139" s="17">
        <v>137</v>
      </c>
      <c r="B139" s="2">
        <v>137</v>
      </c>
      <c r="C139" s="2" t="s">
        <v>646</v>
      </c>
      <c r="D139" s="5">
        <v>12555.726011893219</v>
      </c>
      <c r="E139" s="5">
        <v>20895.586719233979</v>
      </c>
      <c r="F139" s="5">
        <v>7.7199419944981926</v>
      </c>
      <c r="G139" s="11">
        <v>0.61020765003268029</v>
      </c>
      <c r="H139" s="11">
        <v>6.2270495019390033</v>
      </c>
      <c r="I139" s="11">
        <v>0.34911062284165384</v>
      </c>
      <c r="J139" s="11">
        <v>8.4893004137669301</v>
      </c>
      <c r="K139" s="24">
        <v>65.681405499715041</v>
      </c>
    </row>
    <row r="140" spans="1:11">
      <c r="A140" s="17">
        <v>138</v>
      </c>
      <c r="B140" s="2">
        <v>138</v>
      </c>
      <c r="C140" s="2" t="s">
        <v>647</v>
      </c>
      <c r="D140" s="5">
        <v>12515.101612049128</v>
      </c>
      <c r="E140" s="5">
        <v>23547.188395240955</v>
      </c>
      <c r="F140" s="5">
        <v>3.8810473469830029</v>
      </c>
      <c r="G140" s="11">
        <v>0.61937146644486352</v>
      </c>
      <c r="H140" s="11">
        <v>4.810733342165971</v>
      </c>
      <c r="I140" s="11">
        <v>0.31767812694126407</v>
      </c>
      <c r="J140" s="11">
        <v>6.5921927223965655</v>
      </c>
      <c r="K140" s="24">
        <v>59.67732698179789</v>
      </c>
    </row>
    <row r="141" spans="1:11">
      <c r="A141" s="17">
        <v>139</v>
      </c>
      <c r="B141" s="2">
        <v>139</v>
      </c>
      <c r="C141" s="2" t="s">
        <v>647</v>
      </c>
      <c r="D141" s="5">
        <v>13642.59503156625</v>
      </c>
      <c r="E141" s="5">
        <v>21010.758420743077</v>
      </c>
      <c r="F141" s="5">
        <v>2.8081519414690845</v>
      </c>
      <c r="G141" s="11">
        <v>0.6828216926340247</v>
      </c>
      <c r="H141" s="11">
        <v>5.4026062365311951</v>
      </c>
      <c r="I141" s="11">
        <v>0.22244476425568793</v>
      </c>
      <c r="J141" s="11">
        <v>-1.9760076484405102</v>
      </c>
      <c r="K141" s="24">
        <v>57.689714035372802</v>
      </c>
    </row>
    <row r="142" spans="1:11">
      <c r="A142" s="17">
        <v>140</v>
      </c>
      <c r="B142" s="2">
        <v>140</v>
      </c>
      <c r="C142" s="2" t="s">
        <v>646</v>
      </c>
      <c r="D142" s="5">
        <v>13628.777419622727</v>
      </c>
      <c r="E142" s="5">
        <v>21453.115043186262</v>
      </c>
      <c r="F142" s="5">
        <v>6.5627734217805553</v>
      </c>
      <c r="G142" s="11">
        <v>0.58789002777193677</v>
      </c>
      <c r="H142" s="11">
        <v>4.657910487186367</v>
      </c>
      <c r="I142" s="11">
        <v>0.34529909384857094</v>
      </c>
      <c r="J142" s="11">
        <v>5.1607204159248328</v>
      </c>
      <c r="K142" s="24">
        <v>75.642824465892048</v>
      </c>
    </row>
    <row r="143" spans="1:11">
      <c r="A143" s="17">
        <v>141</v>
      </c>
      <c r="B143" s="2">
        <v>141</v>
      </c>
      <c r="C143" s="2" t="s">
        <v>646</v>
      </c>
      <c r="D143" s="5">
        <v>12761.092189290301</v>
      </c>
      <c r="E143" s="5">
        <v>23233.698190778814</v>
      </c>
      <c r="F143" s="5">
        <v>1.4075612932238144</v>
      </c>
      <c r="G143" s="11">
        <v>0.54402875654777749</v>
      </c>
      <c r="H143" s="11">
        <v>5.676228241132943</v>
      </c>
      <c r="I143" s="11">
        <v>0.24927688671779835</v>
      </c>
      <c r="J143" s="11">
        <v>10.315864344325153</v>
      </c>
      <c r="K143" s="24">
        <v>61.425822608159436</v>
      </c>
    </row>
    <row r="144" spans="1:11">
      <c r="A144" s="17">
        <v>142</v>
      </c>
      <c r="B144" s="2">
        <v>142</v>
      </c>
      <c r="C144" s="2" t="s">
        <v>647</v>
      </c>
      <c r="D144" s="5">
        <v>13584.298126485171</v>
      </c>
      <c r="E144" s="5">
        <v>23212.808348034305</v>
      </c>
      <c r="F144" s="5">
        <v>7.5400677760235411</v>
      </c>
      <c r="G144" s="11">
        <v>0.53484530405403352</v>
      </c>
      <c r="H144" s="11">
        <v>6.1290858442884506</v>
      </c>
      <c r="I144" s="11">
        <v>0.26915585451617519</v>
      </c>
      <c r="J144" s="11">
        <v>10.556481429471521</v>
      </c>
      <c r="K144" s="24">
        <v>74.578860477947458</v>
      </c>
    </row>
    <row r="145" spans="1:11">
      <c r="A145" s="17">
        <v>143</v>
      </c>
      <c r="B145" s="2">
        <v>143</v>
      </c>
      <c r="C145" s="2" t="s">
        <v>647</v>
      </c>
      <c r="D145" s="5">
        <v>14265.936211128226</v>
      </c>
      <c r="E145" s="5">
        <v>20337.107973318343</v>
      </c>
      <c r="F145" s="5">
        <v>7.8489790118574163</v>
      </c>
      <c r="G145" s="11">
        <v>0.6591119033590076</v>
      </c>
      <c r="H145" s="11">
        <v>5.9869726865223889</v>
      </c>
      <c r="I145" s="11">
        <v>0.14140665150946008</v>
      </c>
      <c r="J145" s="11">
        <v>1.8547455609089853</v>
      </c>
      <c r="K145" s="24">
        <v>62.494064539593822</v>
      </c>
    </row>
    <row r="146" spans="1:11">
      <c r="A146" s="17">
        <v>144</v>
      </c>
      <c r="B146" s="2">
        <v>144</v>
      </c>
      <c r="C146" s="2" t="s">
        <v>648</v>
      </c>
      <c r="D146" s="5">
        <v>14266.267267199672</v>
      </c>
      <c r="E146" s="5">
        <v>22040.233890947566</v>
      </c>
      <c r="F146" s="5">
        <v>5.7627151741890046</v>
      </c>
      <c r="G146" s="11">
        <v>0.68565726748493039</v>
      </c>
      <c r="H146" s="11">
        <v>4.7646339507274966</v>
      </c>
      <c r="I146" s="11">
        <v>0.2019842577574491</v>
      </c>
      <c r="J146" s="11">
        <v>5.4068450946082054</v>
      </c>
      <c r="K146" s="24">
        <v>65.743966630750222</v>
      </c>
    </row>
    <row r="147" spans="1:11">
      <c r="A147" s="17">
        <v>145</v>
      </c>
      <c r="B147" s="2">
        <v>145</v>
      </c>
      <c r="C147" s="2" t="s">
        <v>647</v>
      </c>
      <c r="D147" s="5">
        <v>12685.727592948913</v>
      </c>
      <c r="E147" s="5">
        <v>20142.012264841032</v>
      </c>
      <c r="F147" s="5">
        <v>2.2970903034611254</v>
      </c>
      <c r="G147" s="11">
        <v>0.63449168560400726</v>
      </c>
      <c r="H147" s="11">
        <v>6.4523565523119792</v>
      </c>
      <c r="I147" s="11">
        <v>0.13372595169996204</v>
      </c>
      <c r="J147" s="11">
        <v>1.9888048984424573</v>
      </c>
      <c r="K147" s="24">
        <v>45.484475783766541</v>
      </c>
    </row>
    <row r="148" spans="1:11">
      <c r="A148" s="17">
        <v>146</v>
      </c>
      <c r="B148" s="2">
        <v>146</v>
      </c>
      <c r="C148" s="2" t="s">
        <v>646</v>
      </c>
      <c r="D148" s="5">
        <v>13920.920078131692</v>
      </c>
      <c r="E148" s="5">
        <v>21606.872796382522</v>
      </c>
      <c r="F148" s="5">
        <v>6.4595074762401126</v>
      </c>
      <c r="G148" s="11">
        <v>0.6676601441984531</v>
      </c>
      <c r="H148" s="11">
        <v>6.250368790475644</v>
      </c>
      <c r="I148" s="11">
        <v>0.1903308074083907</v>
      </c>
      <c r="J148" s="11">
        <v>9.3140352626099663</v>
      </c>
      <c r="K148" s="24">
        <v>52.952703216085141</v>
      </c>
    </row>
    <row r="149" spans="1:11">
      <c r="A149" s="17">
        <v>147</v>
      </c>
      <c r="B149" s="2">
        <v>147</v>
      </c>
      <c r="C149" s="2" t="s">
        <v>648</v>
      </c>
      <c r="D149" s="5">
        <v>14088.931034390205</v>
      </c>
      <c r="E149" s="5">
        <v>21893.855948291748</v>
      </c>
      <c r="F149" s="5">
        <v>3.9815938411784444</v>
      </c>
      <c r="G149" s="11">
        <v>0.56159694054149445</v>
      </c>
      <c r="H149" s="11">
        <v>6.3022443305691773</v>
      </c>
      <c r="I149" s="11">
        <v>0.37378249362020144</v>
      </c>
      <c r="J149" s="11">
        <v>8.5463043706525674</v>
      </c>
      <c r="K149" s="24">
        <v>58.624634313048048</v>
      </c>
    </row>
    <row r="150" spans="1:11">
      <c r="A150" s="17">
        <v>148</v>
      </c>
      <c r="B150" s="2">
        <v>148</v>
      </c>
      <c r="C150" s="2" t="s">
        <v>648</v>
      </c>
      <c r="D150" s="5">
        <v>12964.647903796666</v>
      </c>
      <c r="E150" s="5">
        <v>22459.644303125533</v>
      </c>
      <c r="F150" s="5">
        <v>4.2881028498022786</v>
      </c>
      <c r="G150" s="11">
        <v>0.63700491703348239</v>
      </c>
      <c r="H150" s="11">
        <v>5.4849467453288376</v>
      </c>
      <c r="I150" s="11">
        <v>0.35521597454546283</v>
      </c>
      <c r="J150" s="11">
        <v>8.1802276514875736</v>
      </c>
      <c r="K150" s="24">
        <v>53.621837291941304</v>
      </c>
    </row>
    <row r="151" spans="1:11">
      <c r="A151" s="17">
        <v>149</v>
      </c>
      <c r="B151" s="2">
        <v>149</v>
      </c>
      <c r="C151" s="2" t="s">
        <v>648</v>
      </c>
      <c r="D151" s="5">
        <v>13389.227315425322</v>
      </c>
      <c r="E151" s="5">
        <v>22466.854549747513</v>
      </c>
      <c r="F151" s="5">
        <v>6.258791360966832</v>
      </c>
      <c r="G151" s="11">
        <v>0.49027513911714782</v>
      </c>
      <c r="H151" s="11">
        <v>6.5200821893938006</v>
      </c>
      <c r="I151" s="11">
        <v>0.29726853251033392</v>
      </c>
      <c r="J151" s="11">
        <v>5.1308615468682079</v>
      </c>
      <c r="K151" s="24">
        <v>53.77933236042027</v>
      </c>
    </row>
    <row r="152" spans="1:11">
      <c r="A152" s="17">
        <v>150</v>
      </c>
      <c r="B152" s="2">
        <v>150</v>
      </c>
      <c r="C152" s="2" t="s">
        <v>647</v>
      </c>
      <c r="D152" s="5">
        <v>14809.05597895451</v>
      </c>
      <c r="E152" s="5">
        <v>22829.974061096</v>
      </c>
      <c r="F152" s="5">
        <v>6.9110638314277892</v>
      </c>
      <c r="G152" s="11">
        <v>0.64588578686089027</v>
      </c>
      <c r="H152" s="11">
        <v>6.6322298604210879</v>
      </c>
      <c r="I152" s="11">
        <v>0.31700076236758834</v>
      </c>
      <c r="J152" s="11">
        <v>4.9083278484275512</v>
      </c>
      <c r="K152" s="24">
        <v>48.895726126545199</v>
      </c>
    </row>
    <row r="153" spans="1:11">
      <c r="A153" s="17">
        <v>151</v>
      </c>
      <c r="B153" s="2">
        <v>151</v>
      </c>
      <c r="C153" s="2" t="s">
        <v>646</v>
      </c>
      <c r="D153" s="5">
        <v>14394.745672003572</v>
      </c>
      <c r="E153" s="5">
        <v>23189.68933377575</v>
      </c>
      <c r="F153" s="5">
        <v>5.6243105552375781</v>
      </c>
      <c r="G153" s="11">
        <v>0.60216203054442308</v>
      </c>
      <c r="H153" s="11">
        <v>6.3267929623531778</v>
      </c>
      <c r="I153" s="11">
        <v>0.38615032220106515</v>
      </c>
      <c r="J153" s="11">
        <v>12.411339985215225</v>
      </c>
      <c r="K153" s="24">
        <v>60.850727439016921</v>
      </c>
    </row>
    <row r="154" spans="1:11">
      <c r="A154" s="17">
        <v>152</v>
      </c>
      <c r="B154" s="2">
        <v>152</v>
      </c>
      <c r="C154" s="2" t="s">
        <v>648</v>
      </c>
      <c r="D154" s="5">
        <v>13878.621298541637</v>
      </c>
      <c r="E154" s="5">
        <v>21313.705421561754</v>
      </c>
      <c r="F154" s="5">
        <v>5.9413665885194931</v>
      </c>
      <c r="G154" s="11">
        <v>0.56293811608047695</v>
      </c>
      <c r="H154" s="11">
        <v>6.2687344335346857</v>
      </c>
      <c r="I154" s="11">
        <v>0.26471509333488941</v>
      </c>
      <c r="J154" s="11">
        <v>9.4642754297686658</v>
      </c>
      <c r="K154" s="24">
        <v>62.347643580148727</v>
      </c>
    </row>
    <row r="155" spans="1:11">
      <c r="A155" s="17">
        <v>153</v>
      </c>
      <c r="B155" s="2">
        <v>153</v>
      </c>
      <c r="C155" s="2" t="s">
        <v>646</v>
      </c>
      <c r="D155" s="5">
        <v>14018.115275799735</v>
      </c>
      <c r="E155" s="5">
        <v>20036.558627907216</v>
      </c>
      <c r="F155" s="5">
        <v>4.86624790274346</v>
      </c>
      <c r="G155" s="11">
        <v>0.57796464307903084</v>
      </c>
      <c r="H155" s="11">
        <v>5.925327102726154</v>
      </c>
      <c r="I155" s="11">
        <v>0.2422298812173449</v>
      </c>
      <c r="J155" s="11">
        <v>10.776013962345449</v>
      </c>
      <c r="K155" s="24">
        <v>65.606875228915854</v>
      </c>
    </row>
    <row r="156" spans="1:11">
      <c r="A156" s="17">
        <v>154</v>
      </c>
      <c r="B156" s="2">
        <v>154</v>
      </c>
      <c r="C156" s="2" t="s">
        <v>646</v>
      </c>
      <c r="D156" s="5">
        <v>12780.958736808478</v>
      </c>
      <c r="E156" s="5">
        <v>23346.502477579197</v>
      </c>
      <c r="F156" s="5">
        <v>5.454620044890369</v>
      </c>
      <c r="G156" s="11">
        <v>0.63234935793734626</v>
      </c>
      <c r="H156" s="11">
        <v>6.1425571522897222</v>
      </c>
      <c r="I156" s="11">
        <v>0.2022076563976225</v>
      </c>
      <c r="J156" s="11">
        <v>6.4837506065854074</v>
      </c>
      <c r="K156" s="24">
        <v>69.670982224272123</v>
      </c>
    </row>
    <row r="157" spans="1:11">
      <c r="A157" s="17">
        <v>155</v>
      </c>
      <c r="B157" s="2">
        <v>155</v>
      </c>
      <c r="C157" s="2" t="s">
        <v>647</v>
      </c>
      <c r="D157" s="5">
        <v>12975.396084808543</v>
      </c>
      <c r="E157" s="5">
        <v>23090.478241101227</v>
      </c>
      <c r="F157" s="5">
        <v>5.5809620127611268</v>
      </c>
      <c r="G157" s="11">
        <v>0.6018671153004107</v>
      </c>
      <c r="H157" s="11">
        <v>6.0173700119377678</v>
      </c>
      <c r="I157" s="11">
        <v>0.24998073141843635</v>
      </c>
      <c r="J157" s="11">
        <v>8.722743803764704</v>
      </c>
      <c r="K157" s="24">
        <v>73.63255510598465</v>
      </c>
    </row>
    <row r="158" spans="1:11">
      <c r="A158" s="17">
        <v>156</v>
      </c>
      <c r="B158" s="2">
        <v>156</v>
      </c>
      <c r="C158" s="2" t="s">
        <v>646</v>
      </c>
      <c r="D158" s="5">
        <v>12373.275917749359</v>
      </c>
      <c r="E158" s="5">
        <v>21125.498112268833</v>
      </c>
      <c r="F158" s="5">
        <v>0.30179929827409779</v>
      </c>
      <c r="G158" s="11">
        <v>0.52816217927902476</v>
      </c>
      <c r="H158" s="11">
        <v>6.313600560375729</v>
      </c>
      <c r="I158" s="11">
        <v>0.26425066701974176</v>
      </c>
      <c r="J158" s="11">
        <v>12.428102859071576</v>
      </c>
      <c r="K158" s="24">
        <v>55.077991609821041</v>
      </c>
    </row>
    <row r="159" spans="1:11">
      <c r="A159" s="17">
        <v>157</v>
      </c>
      <c r="B159" s="2">
        <v>157</v>
      </c>
      <c r="C159" s="2" t="s">
        <v>646</v>
      </c>
      <c r="D159" s="5">
        <v>13377.642740348327</v>
      </c>
      <c r="E159" s="5">
        <v>23620.297444721946</v>
      </c>
      <c r="F159" s="5">
        <v>8.3958137715462797</v>
      </c>
      <c r="G159" s="11">
        <v>0.65706264448526785</v>
      </c>
      <c r="H159" s="11">
        <v>6.3079165634473462</v>
      </c>
      <c r="I159" s="11">
        <v>0.39679504064180948</v>
      </c>
      <c r="J159" s="11">
        <v>10.573833623111884</v>
      </c>
      <c r="K159" s="24">
        <v>71.926869254545821</v>
      </c>
    </row>
    <row r="160" spans="1:11">
      <c r="A160" s="17">
        <v>158</v>
      </c>
      <c r="B160" s="2">
        <v>158</v>
      </c>
      <c r="C160" s="2" t="s">
        <v>648</v>
      </c>
      <c r="D160" s="5">
        <v>14273.302208717885</v>
      </c>
      <c r="E160" s="5">
        <v>22154.407649395143</v>
      </c>
      <c r="F160" s="5">
        <v>6.4908204808098233</v>
      </c>
      <c r="G160" s="11">
        <v>0.62709324642928554</v>
      </c>
      <c r="H160" s="11">
        <v>6.224948148469533</v>
      </c>
      <c r="I160" s="11">
        <v>0.23236537557820158</v>
      </c>
      <c r="J160" s="11">
        <v>6.8431010771044827</v>
      </c>
      <c r="K160" s="24">
        <v>69.874078349950835</v>
      </c>
    </row>
    <row r="161" spans="1:11">
      <c r="A161" s="17">
        <v>159</v>
      </c>
      <c r="B161" s="2">
        <v>159</v>
      </c>
      <c r="C161" s="2" t="s">
        <v>647</v>
      </c>
      <c r="D161" s="5">
        <v>12761.620605712031</v>
      </c>
      <c r="E161" s="5">
        <v>21706.703823383141</v>
      </c>
      <c r="F161" s="5">
        <v>3.6302992918599628</v>
      </c>
      <c r="G161" s="11">
        <v>0.63508831079961969</v>
      </c>
      <c r="H161" s="11">
        <v>5.6820171341757337</v>
      </c>
      <c r="I161" s="11">
        <v>0.3548859239022204</v>
      </c>
      <c r="J161" s="11">
        <v>3.8586074398202515</v>
      </c>
      <c r="K161" s="24">
        <v>58.374556659043449</v>
      </c>
    </row>
    <row r="162" spans="1:11">
      <c r="A162" s="17">
        <v>160</v>
      </c>
      <c r="B162" s="2">
        <v>160</v>
      </c>
      <c r="C162" s="2" t="s">
        <v>648</v>
      </c>
      <c r="D162" s="5">
        <v>13585.346205442127</v>
      </c>
      <c r="E162" s="5">
        <v>21223.620539785334</v>
      </c>
      <c r="F162" s="5">
        <v>1.3135002702320051</v>
      </c>
      <c r="G162" s="11">
        <v>0.59896652320167054</v>
      </c>
      <c r="H162" s="11">
        <v>6.2569218566135838</v>
      </c>
      <c r="I162" s="11">
        <v>0.31535767780453172</v>
      </c>
      <c r="J162" s="11">
        <v>18.39647171164447</v>
      </c>
      <c r="K162" s="24">
        <v>60.039457932211647</v>
      </c>
    </row>
    <row r="163" spans="1:11">
      <c r="A163" s="17">
        <v>161</v>
      </c>
      <c r="B163" s="2">
        <v>161</v>
      </c>
      <c r="C163" s="2" t="s">
        <v>648</v>
      </c>
      <c r="D163" s="5">
        <v>12668.939230248887</v>
      </c>
      <c r="E163" s="5">
        <v>23964.851327036304</v>
      </c>
      <c r="F163" s="5">
        <v>3.6290846216679782</v>
      </c>
      <c r="G163" s="11">
        <v>0.51759185839619026</v>
      </c>
      <c r="H163" s="11">
        <v>5.5182997883604763</v>
      </c>
      <c r="I163" s="11">
        <v>0.26176994728031788</v>
      </c>
      <c r="J163" s="11">
        <v>1.6890521194139625</v>
      </c>
      <c r="K163" s="24">
        <v>57.255859266449264</v>
      </c>
    </row>
    <row r="164" spans="1:11">
      <c r="A164" s="17">
        <v>162</v>
      </c>
      <c r="B164" s="2">
        <v>162</v>
      </c>
      <c r="C164" s="2" t="s">
        <v>648</v>
      </c>
      <c r="D164" s="5">
        <v>12942.337430327987</v>
      </c>
      <c r="E164" s="5">
        <v>20545.379986287589</v>
      </c>
      <c r="F164" s="5">
        <v>1.9184277163794903</v>
      </c>
      <c r="G164" s="11">
        <v>0.63952594055881495</v>
      </c>
      <c r="H164" s="11">
        <v>5.82548854957275</v>
      </c>
      <c r="I164" s="11">
        <v>0.31874047744920064</v>
      </c>
      <c r="J164" s="11">
        <v>7.4855724127477048</v>
      </c>
      <c r="K164" s="24">
        <v>64.720529330865887</v>
      </c>
    </row>
    <row r="165" spans="1:11">
      <c r="A165" s="17">
        <v>163</v>
      </c>
      <c r="B165" s="2">
        <v>163</v>
      </c>
      <c r="C165" s="2" t="s">
        <v>647</v>
      </c>
      <c r="D165" s="5">
        <v>13747.327325514723</v>
      </c>
      <c r="E165" s="5">
        <v>21751.425496858719</v>
      </c>
      <c r="F165" s="5">
        <v>9.7215232560365692</v>
      </c>
      <c r="G165" s="11">
        <v>0.57623666790168504</v>
      </c>
      <c r="H165" s="11">
        <v>6.1743465569804208</v>
      </c>
      <c r="I165" s="11">
        <v>0.30089967478217661</v>
      </c>
      <c r="J165" s="11">
        <v>7.9635362220168178</v>
      </c>
      <c r="K165" s="24">
        <v>46.017125258283343</v>
      </c>
    </row>
    <row r="166" spans="1:11">
      <c r="A166" s="17">
        <v>164</v>
      </c>
      <c r="B166" s="2">
        <v>164</v>
      </c>
      <c r="C166" s="2" t="s">
        <v>646</v>
      </c>
      <c r="D166" s="5">
        <v>14443.92023153903</v>
      </c>
      <c r="E166" s="5">
        <v>22598.697516513785</v>
      </c>
      <c r="F166" s="5">
        <v>6.4130653206184505</v>
      </c>
      <c r="G166" s="11">
        <v>0.59879023482499183</v>
      </c>
      <c r="H166" s="11">
        <v>6.0815933932371387</v>
      </c>
      <c r="I166" s="11">
        <v>0.28163252958576779</v>
      </c>
      <c r="J166" s="11">
        <v>12.533365558270223</v>
      </c>
      <c r="K166" s="24">
        <v>62.31531628377725</v>
      </c>
    </row>
    <row r="167" spans="1:11">
      <c r="A167" s="17">
        <v>165</v>
      </c>
      <c r="B167" s="2">
        <v>165</v>
      </c>
      <c r="C167" s="2" t="s">
        <v>646</v>
      </c>
      <c r="D167" s="5">
        <v>13627.499352193061</v>
      </c>
      <c r="E167" s="5">
        <v>20952.056904206547</v>
      </c>
      <c r="F167" s="5">
        <v>9.1699762267189797</v>
      </c>
      <c r="G167" s="11">
        <v>0.49362387023284104</v>
      </c>
      <c r="H167" s="11">
        <v>5.9209704827969141</v>
      </c>
      <c r="I167" s="11">
        <v>0.30985917453519507</v>
      </c>
      <c r="J167" s="11">
        <v>9.3508277335698473</v>
      </c>
      <c r="K167" s="24">
        <v>60.130045661109946</v>
      </c>
    </row>
    <row r="168" spans="1:11">
      <c r="A168" s="17">
        <v>166</v>
      </c>
      <c r="B168" s="2">
        <v>166</v>
      </c>
      <c r="C168" s="2" t="s">
        <v>648</v>
      </c>
      <c r="D168" s="5">
        <v>13973.857217248385</v>
      </c>
      <c r="E168" s="5">
        <v>23814.339048839902</v>
      </c>
      <c r="F168" s="5">
        <v>12.054861313760746</v>
      </c>
      <c r="G168" s="11">
        <v>0.53114985584106766</v>
      </c>
      <c r="H168" s="11">
        <v>6.8621366544277258</v>
      </c>
      <c r="I168" s="11">
        <v>0.23502048377806206</v>
      </c>
      <c r="J168" s="11">
        <v>7.3514621463440095</v>
      </c>
      <c r="K168" s="24">
        <v>64.645323994516005</v>
      </c>
    </row>
    <row r="169" spans="1:11">
      <c r="A169" s="17">
        <v>167</v>
      </c>
      <c r="B169" s="2">
        <v>167</v>
      </c>
      <c r="C169" s="2" t="s">
        <v>646</v>
      </c>
      <c r="D169" s="5">
        <v>13354.823745654519</v>
      </c>
      <c r="E169" s="5">
        <v>23124.451506191253</v>
      </c>
      <c r="F169" s="5">
        <v>6.0522540472511608</v>
      </c>
      <c r="G169" s="11">
        <v>0.60792444127291678</v>
      </c>
      <c r="H169" s="11">
        <v>6.4216778700289829</v>
      </c>
      <c r="I169" s="11">
        <v>0.26259799986930377</v>
      </c>
      <c r="J169" s="11">
        <v>2.5690447924492661</v>
      </c>
      <c r="K169" s="24">
        <v>49.263386546469704</v>
      </c>
    </row>
    <row r="170" spans="1:11">
      <c r="A170" s="17">
        <v>168</v>
      </c>
      <c r="B170" s="2">
        <v>168</v>
      </c>
      <c r="C170" s="2" t="s">
        <v>648</v>
      </c>
      <c r="D170" s="5">
        <v>12820.443539791248</v>
      </c>
      <c r="E170" s="5">
        <v>22472.624043075048</v>
      </c>
      <c r="F170" s="5">
        <v>5.6407899423511552</v>
      </c>
      <c r="G170" s="11">
        <v>0.61973245866174698</v>
      </c>
      <c r="H170" s="11">
        <v>5.5068955220155509</v>
      </c>
      <c r="I170" s="11">
        <v>0.14063594814571845</v>
      </c>
      <c r="J170" s="11">
        <v>7.7845539831699613</v>
      </c>
      <c r="K170" s="24">
        <v>51.868638961743457</v>
      </c>
    </row>
    <row r="171" spans="1:11">
      <c r="A171" s="17">
        <v>169</v>
      </c>
      <c r="B171" s="2">
        <v>169</v>
      </c>
      <c r="C171" s="2" t="s">
        <v>646</v>
      </c>
      <c r="D171" s="5">
        <v>12803.219074381721</v>
      </c>
      <c r="E171" s="5">
        <v>22703.141330111539</v>
      </c>
      <c r="F171" s="5">
        <v>7.4108030080033203</v>
      </c>
      <c r="G171" s="11">
        <v>0.60737276088621006</v>
      </c>
      <c r="H171" s="11">
        <v>5.6312150636642251</v>
      </c>
      <c r="I171" s="11">
        <v>0.35878888979779733</v>
      </c>
      <c r="J171" s="11">
        <v>2.5927921970790964</v>
      </c>
      <c r="K171" s="24">
        <v>56.800834745256182</v>
      </c>
    </row>
    <row r="172" spans="1:11">
      <c r="A172" s="17">
        <v>170</v>
      </c>
      <c r="B172" s="2">
        <v>170</v>
      </c>
      <c r="C172" s="2" t="s">
        <v>647</v>
      </c>
      <c r="D172" s="5">
        <v>12944.700979684219</v>
      </c>
      <c r="E172" s="5">
        <v>21527.444520870195</v>
      </c>
      <c r="F172" s="5">
        <v>5.0025756525719842</v>
      </c>
      <c r="G172" s="11">
        <v>0.52591581154847522</v>
      </c>
      <c r="H172" s="11">
        <v>6.3436635906975276</v>
      </c>
      <c r="I172" s="11">
        <v>0.30223202017579753</v>
      </c>
      <c r="J172" s="11">
        <v>10.702501775954577</v>
      </c>
      <c r="K172" s="24">
        <v>74.198699967825817</v>
      </c>
    </row>
    <row r="173" spans="1:11">
      <c r="A173" s="17">
        <v>171</v>
      </c>
      <c r="B173" s="2">
        <v>171</v>
      </c>
      <c r="C173" s="2" t="s">
        <v>647</v>
      </c>
      <c r="D173" s="5">
        <v>12919.281284890692</v>
      </c>
      <c r="E173" s="5">
        <v>20185.688474156923</v>
      </c>
      <c r="F173" s="5">
        <v>-1.8314218453206124</v>
      </c>
      <c r="G173" s="11">
        <v>0.46123019531369214</v>
      </c>
      <c r="H173" s="11">
        <v>5.6120386814779373</v>
      </c>
      <c r="I173" s="11">
        <v>0.31097441214753418</v>
      </c>
      <c r="J173" s="11">
        <v>4.2185945212171179</v>
      </c>
      <c r="K173" s="24">
        <v>72.641376837416104</v>
      </c>
    </row>
    <row r="174" spans="1:11">
      <c r="A174" s="17">
        <v>172</v>
      </c>
      <c r="B174" s="2">
        <v>172</v>
      </c>
      <c r="C174" s="2" t="s">
        <v>646</v>
      </c>
      <c r="D174" s="5">
        <v>12738.769778703661</v>
      </c>
      <c r="E174" s="5">
        <v>21497.421987077832</v>
      </c>
      <c r="F174" s="5">
        <v>3.5667812592983026</v>
      </c>
      <c r="G174" s="11">
        <v>0.6036602323991247</v>
      </c>
      <c r="H174" s="11">
        <v>5.6009912579895023</v>
      </c>
      <c r="I174" s="11">
        <v>0.31218745067078091</v>
      </c>
      <c r="J174" s="11">
        <v>7.0655438311340264</v>
      </c>
      <c r="K174" s="24">
        <v>62.378954485691068</v>
      </c>
    </row>
    <row r="175" spans="1:11">
      <c r="A175" s="17">
        <v>173</v>
      </c>
      <c r="B175" s="2">
        <v>173</v>
      </c>
      <c r="C175" s="2" t="s">
        <v>647</v>
      </c>
      <c r="D175" s="5">
        <v>14542.441245108583</v>
      </c>
      <c r="E175" s="5">
        <v>21555.506809363142</v>
      </c>
      <c r="F175" s="5">
        <v>3.8166698268078179</v>
      </c>
      <c r="G175" s="11">
        <v>0.60175341303765895</v>
      </c>
      <c r="H175" s="11">
        <v>5.4118008221109299</v>
      </c>
      <c r="I175" s="11">
        <v>9.3561012162826973E-2</v>
      </c>
      <c r="J175" s="11">
        <v>1.6746901780109953</v>
      </c>
      <c r="K175" s="24">
        <v>65.426883032084518</v>
      </c>
    </row>
    <row r="176" spans="1:11">
      <c r="A176" s="17">
        <v>174</v>
      </c>
      <c r="B176" s="2">
        <v>174</v>
      </c>
      <c r="C176" s="2" t="s">
        <v>647</v>
      </c>
      <c r="D176" s="5">
        <v>13618.15497625337</v>
      </c>
      <c r="E176" s="5">
        <v>23328.837589360337</v>
      </c>
      <c r="F176" s="5">
        <v>3.1492302468514097</v>
      </c>
      <c r="G176" s="11">
        <v>0.70100383144454104</v>
      </c>
      <c r="H176" s="11">
        <v>6.705651258481506</v>
      </c>
      <c r="I176" s="11">
        <v>0.31590834740611173</v>
      </c>
      <c r="J176" s="11">
        <v>6.8394269228955169</v>
      </c>
      <c r="K176" s="24">
        <v>58.322788991813198</v>
      </c>
    </row>
    <row r="177" spans="1:11">
      <c r="A177" s="17">
        <v>175</v>
      </c>
      <c r="B177" s="2">
        <v>175</v>
      </c>
      <c r="C177" s="2" t="s">
        <v>646</v>
      </c>
      <c r="D177" s="5">
        <v>13000.880240039058</v>
      </c>
      <c r="E177" s="5">
        <v>21455.632581364189</v>
      </c>
      <c r="F177" s="5">
        <v>6.6671564300868411</v>
      </c>
      <c r="G177" s="11">
        <v>0.56381270091951596</v>
      </c>
      <c r="H177" s="11">
        <v>5.9869726865223889</v>
      </c>
      <c r="I177" s="11">
        <v>0.23047424098605918</v>
      </c>
      <c r="J177" s="11">
        <v>2.9478901069345271</v>
      </c>
      <c r="K177" s="24">
        <v>54.540866981653565</v>
      </c>
    </row>
    <row r="178" spans="1:11">
      <c r="A178" s="17">
        <v>176</v>
      </c>
      <c r="B178" s="2">
        <v>176</v>
      </c>
      <c r="C178" s="2" t="s">
        <v>646</v>
      </c>
      <c r="D178" s="5">
        <v>12721.930484300336</v>
      </c>
      <c r="E178" s="5">
        <v>22419.039684791205</v>
      </c>
      <c r="F178" s="5">
        <v>6.9168118243005736</v>
      </c>
      <c r="G178" s="11">
        <v>0.61971413165229028</v>
      </c>
      <c r="H178" s="11">
        <v>5.8817839413654234</v>
      </c>
      <c r="I178" s="11">
        <v>0.30585006868320308</v>
      </c>
      <c r="J178" s="11">
        <v>10.340237446503441</v>
      </c>
      <c r="K178" s="24">
        <v>64.426542076041372</v>
      </c>
    </row>
    <row r="179" spans="1:11">
      <c r="A179" s="17">
        <v>177</v>
      </c>
      <c r="B179" s="2">
        <v>177</v>
      </c>
      <c r="C179" s="2" t="s">
        <v>648</v>
      </c>
      <c r="D179" s="5">
        <v>14252.999558490208</v>
      </c>
      <c r="E179" s="5">
        <v>22416.026415157394</v>
      </c>
      <c r="F179" s="5">
        <v>7.4449710297876734</v>
      </c>
      <c r="G179" s="11">
        <v>0.63316509686846989</v>
      </c>
      <c r="H179" s="11">
        <v>6.1017064879217138</v>
      </c>
      <c r="I179" s="11">
        <v>0.15844054179935485</v>
      </c>
      <c r="J179" s="11">
        <v>0.22184957270414873</v>
      </c>
      <c r="K179" s="24">
        <v>52.348739513392687</v>
      </c>
    </row>
    <row r="180" spans="1:11">
      <c r="A180" s="17">
        <v>178</v>
      </c>
      <c r="B180" s="2">
        <v>178</v>
      </c>
      <c r="C180" s="2" t="s">
        <v>646</v>
      </c>
      <c r="D180" s="5">
        <v>12339.901327546775</v>
      </c>
      <c r="E180" s="5">
        <v>19790.995513175876</v>
      </c>
      <c r="F180" s="5">
        <v>5.2321672980788279</v>
      </c>
      <c r="G180" s="11">
        <v>0.65331894761475273</v>
      </c>
      <c r="H180" s="11">
        <v>6.7052395167240171</v>
      </c>
      <c r="I180" s="11">
        <v>0.37304836501745742</v>
      </c>
      <c r="J180" s="11">
        <v>5.2319553542614345</v>
      </c>
      <c r="K180" s="24">
        <v>60.90432309273838</v>
      </c>
    </row>
    <row r="181" spans="1:11">
      <c r="A181" s="17">
        <v>179</v>
      </c>
      <c r="B181" s="2">
        <v>179</v>
      </c>
      <c r="C181" s="2" t="s">
        <v>646</v>
      </c>
      <c r="D181" s="5">
        <v>12558.549538194873</v>
      </c>
      <c r="E181" s="5">
        <v>23828.353452699521</v>
      </c>
      <c r="F181" s="5">
        <v>3.3695193623834783</v>
      </c>
      <c r="G181" s="11">
        <v>0.62018159506696979</v>
      </c>
      <c r="H181" s="11">
        <v>6.0404549998076469</v>
      </c>
      <c r="I181" s="11">
        <v>0.26478421963317489</v>
      </c>
      <c r="J181" s="11">
        <v>8.6418651200736782</v>
      </c>
      <c r="K181" s="24">
        <v>57.293875317461428</v>
      </c>
    </row>
    <row r="182" spans="1:11">
      <c r="A182" s="17">
        <v>180</v>
      </c>
      <c r="B182" s="2">
        <v>180</v>
      </c>
      <c r="C182" s="2" t="s">
        <v>648</v>
      </c>
      <c r="D182" s="5">
        <v>13603.112616007073</v>
      </c>
      <c r="E182" s="5">
        <v>21888.868393034063</v>
      </c>
      <c r="F182" s="5">
        <v>4.5119953061494087</v>
      </c>
      <c r="G182" s="11">
        <v>0.63788187066966207</v>
      </c>
      <c r="H182" s="11">
        <v>6.8462904787895091</v>
      </c>
      <c r="I182" s="11">
        <v>0.37354812255172876</v>
      </c>
      <c r="J182" s="11">
        <v>7.3071322025910819</v>
      </c>
      <c r="K182" s="24">
        <v>51.704817998104048</v>
      </c>
    </row>
    <row r="183" spans="1:11">
      <c r="A183" s="17">
        <v>181</v>
      </c>
      <c r="B183" s="2">
        <v>181</v>
      </c>
      <c r="C183" s="2" t="s">
        <v>646</v>
      </c>
      <c r="D183" s="5">
        <v>13814.090830461444</v>
      </c>
      <c r="E183" s="5">
        <v>21554.277740960533</v>
      </c>
      <c r="F183" s="5">
        <v>7.7613166979126689</v>
      </c>
      <c r="G183" s="11">
        <v>0.59633597397696581</v>
      </c>
      <c r="H183" s="11">
        <v>5.5945661258976394</v>
      </c>
      <c r="I183" s="11">
        <v>0.29160632061077196</v>
      </c>
      <c r="J183" s="11">
        <v>8.714602460081867</v>
      </c>
      <c r="K183" s="24">
        <v>56.391593321411349</v>
      </c>
    </row>
    <row r="184" spans="1:11">
      <c r="A184" s="17">
        <v>182</v>
      </c>
      <c r="B184" s="2">
        <v>182</v>
      </c>
      <c r="C184" s="2" t="s">
        <v>648</v>
      </c>
      <c r="D184" s="5">
        <v>12400.659666351365</v>
      </c>
      <c r="E184" s="5">
        <v>21397.117909145454</v>
      </c>
      <c r="F184" s="5">
        <v>2.5754287243735305</v>
      </c>
      <c r="G184" s="11">
        <v>0.60071407212381023</v>
      </c>
      <c r="H184" s="11">
        <v>5.5564035470035229</v>
      </c>
      <c r="I184" s="11">
        <v>0.37077078150061427</v>
      </c>
      <c r="J184" s="11">
        <v>14.837853282556669</v>
      </c>
      <c r="K184" s="24">
        <v>60.209187615671183</v>
      </c>
    </row>
    <row r="185" spans="1:11">
      <c r="A185" s="17">
        <v>183</v>
      </c>
      <c r="B185" s="2">
        <v>183</v>
      </c>
      <c r="C185" s="2" t="s">
        <v>646</v>
      </c>
      <c r="D185" s="5">
        <v>13693.750356875333</v>
      </c>
      <c r="E185" s="5">
        <v>20632.455918530031</v>
      </c>
      <c r="F185" s="5">
        <v>7.1191194828834412</v>
      </c>
      <c r="G185" s="11">
        <v>0.56670063865458364</v>
      </c>
      <c r="H185" s="11">
        <v>6.475692506586423</v>
      </c>
      <c r="I185" s="11">
        <v>0.22258052976851106</v>
      </c>
      <c r="J185" s="11">
        <v>9.9011432785440299</v>
      </c>
      <c r="K185" s="24">
        <v>57.134476412429379</v>
      </c>
    </row>
    <row r="186" spans="1:11">
      <c r="A186" s="17">
        <v>184</v>
      </c>
      <c r="B186" s="2">
        <v>184</v>
      </c>
      <c r="C186" s="2" t="s">
        <v>648</v>
      </c>
      <c r="D186" s="5">
        <v>13148.349803710678</v>
      </c>
      <c r="E186" s="5">
        <v>21603.113229502487</v>
      </c>
      <c r="F186" s="5">
        <v>7.2925353433283888</v>
      </c>
      <c r="G186" s="11">
        <v>0.6013745301686868</v>
      </c>
      <c r="H186" s="11">
        <v>6.6754431382070685</v>
      </c>
      <c r="I186" s="11">
        <v>0.22834207871894252</v>
      </c>
      <c r="J186" s="11">
        <v>0.87114901473373596</v>
      </c>
      <c r="K186" s="24">
        <v>56.759268911348229</v>
      </c>
    </row>
    <row r="187" spans="1:11">
      <c r="A187" s="17">
        <v>185</v>
      </c>
      <c r="B187" s="2">
        <v>185</v>
      </c>
      <c r="C187" s="2" t="s">
        <v>646</v>
      </c>
      <c r="D187" s="5">
        <v>14376.225631391369</v>
      </c>
      <c r="E187" s="5">
        <v>23971.383317984437</v>
      </c>
      <c r="F187" s="5">
        <v>2.6088104641139651</v>
      </c>
      <c r="G187" s="11">
        <v>0.58211190817819447</v>
      </c>
      <c r="H187" s="11">
        <v>5.6225263322436909</v>
      </c>
      <c r="I187" s="11">
        <v>0.24172661250601779</v>
      </c>
      <c r="J187" s="11">
        <v>9.154096783450175</v>
      </c>
      <c r="K187" s="24">
        <v>71.875837332915765</v>
      </c>
    </row>
    <row r="188" spans="1:11">
      <c r="A188" s="17">
        <v>186</v>
      </c>
      <c r="B188" s="2">
        <v>186</v>
      </c>
      <c r="C188" s="2" t="s">
        <v>648</v>
      </c>
      <c r="D188" s="5">
        <v>13991.605324232458</v>
      </c>
      <c r="E188" s="5">
        <v>22321.56419222476</v>
      </c>
      <c r="F188" s="5">
        <v>5.9834408118213176</v>
      </c>
      <c r="G188" s="11">
        <v>0.47709864268545066</v>
      </c>
      <c r="H188" s="11">
        <v>5.6771546600872931</v>
      </c>
      <c r="I188" s="11">
        <v>0.28940020417691814</v>
      </c>
      <c r="J188" s="11">
        <v>8.0859510371513785</v>
      </c>
      <c r="K188" s="24">
        <v>59.999780764844402</v>
      </c>
    </row>
    <row r="189" spans="1:11">
      <c r="A189" s="17">
        <v>187</v>
      </c>
      <c r="B189" s="2">
        <v>187</v>
      </c>
      <c r="C189" s="2" t="s">
        <v>648</v>
      </c>
      <c r="D189" s="5">
        <v>13776.168994123671</v>
      </c>
      <c r="E189" s="5">
        <v>22853.83829257582</v>
      </c>
      <c r="F189" s="5">
        <v>3.139111610341395</v>
      </c>
      <c r="G189" s="11">
        <v>0.54075782171712494</v>
      </c>
      <c r="H189" s="11">
        <v>5.998193139582721</v>
      </c>
      <c r="I189" s="11">
        <v>0.33253962272694482</v>
      </c>
      <c r="J189" s="11">
        <v>11.865222434258019</v>
      </c>
      <c r="K189" s="24">
        <v>61.393593916868397</v>
      </c>
    </row>
    <row r="190" spans="1:11">
      <c r="A190" s="17">
        <v>188</v>
      </c>
      <c r="B190" s="2">
        <v>188</v>
      </c>
      <c r="C190" s="2" t="s">
        <v>646</v>
      </c>
      <c r="D190" s="5">
        <v>12260.247326818151</v>
      </c>
      <c r="E190" s="5">
        <v>22514.827098347741</v>
      </c>
      <c r="F190" s="5">
        <v>6.2408017700654526</v>
      </c>
      <c r="G190" s="11">
        <v>0.58265056018062755</v>
      </c>
      <c r="H190" s="11">
        <v>6.0402216794784032</v>
      </c>
      <c r="I190" s="11">
        <v>0.29932893509637326</v>
      </c>
      <c r="J190" s="11">
        <v>2.341756520195621</v>
      </c>
      <c r="K190" s="24">
        <v>60.2933508443286</v>
      </c>
    </row>
    <row r="191" spans="1:11">
      <c r="A191" s="17">
        <v>189</v>
      </c>
      <c r="B191" s="2">
        <v>189</v>
      </c>
      <c r="C191" s="2" t="s">
        <v>648</v>
      </c>
      <c r="D191" s="5">
        <v>12828.376152580111</v>
      </c>
      <c r="E191" s="5">
        <v>22805.997507020511</v>
      </c>
      <c r="F191" s="5">
        <v>6.0681179653165671</v>
      </c>
      <c r="G191" s="11">
        <v>0.55029908725264254</v>
      </c>
      <c r="H191" s="11">
        <v>5.6699148675181128</v>
      </c>
      <c r="I191" s="11">
        <v>0.41652961128376775</v>
      </c>
      <c r="J191" s="11">
        <v>7.3804916023712837</v>
      </c>
      <c r="K191" s="24">
        <v>73.11289116206099</v>
      </c>
    </row>
    <row r="192" spans="1:11">
      <c r="A192" s="17">
        <v>190</v>
      </c>
      <c r="B192" s="2">
        <v>190</v>
      </c>
      <c r="C192" s="2" t="s">
        <v>648</v>
      </c>
      <c r="D192" s="5">
        <v>11719.984509223812</v>
      </c>
      <c r="E192" s="5">
        <v>21818.664610691048</v>
      </c>
      <c r="F192" s="5">
        <v>3.7318543961255344</v>
      </c>
      <c r="G192" s="11">
        <v>0.54004493845131951</v>
      </c>
      <c r="H192" s="11">
        <v>5.4724297959011743</v>
      </c>
      <c r="I192" s="11">
        <v>0.19669510842006277</v>
      </c>
      <c r="J192" s="11">
        <v>2.9881239144109246</v>
      </c>
      <c r="K192" s="24">
        <v>60.119760392719584</v>
      </c>
    </row>
    <row r="193" spans="1:11">
      <c r="A193" s="17">
        <v>191</v>
      </c>
      <c r="B193" s="2">
        <v>191</v>
      </c>
      <c r="C193" s="2" t="s">
        <v>647</v>
      </c>
      <c r="D193" s="5">
        <v>13105.559214860639</v>
      </c>
      <c r="E193" s="5">
        <v>22552.921738678851</v>
      </c>
      <c r="F193" s="5">
        <v>3.7885534654442452</v>
      </c>
      <c r="G193" s="11">
        <v>0.65906402872205949</v>
      </c>
      <c r="H193" s="11">
        <v>5.7070412296558821</v>
      </c>
      <c r="I193" s="11">
        <v>0.21969083105161191</v>
      </c>
      <c r="J193" s="11">
        <v>9.6420099112950517</v>
      </c>
      <c r="K193" s="24">
        <v>64.981521808774417</v>
      </c>
    </row>
    <row r="194" spans="1:11">
      <c r="A194" s="17">
        <v>192</v>
      </c>
      <c r="B194" s="2">
        <v>192</v>
      </c>
      <c r="C194" s="2" t="s">
        <v>646</v>
      </c>
      <c r="D194" s="5">
        <v>11931.841295560096</v>
      </c>
      <c r="E194" s="5">
        <v>21138.89042175244</v>
      </c>
      <c r="F194" s="5">
        <v>4.4266701477972745</v>
      </c>
      <c r="G194" s="11">
        <v>0.60567296192748477</v>
      </c>
      <c r="H194" s="11">
        <v>5.6997269314353467</v>
      </c>
      <c r="I194" s="11">
        <v>0.30684314659381018</v>
      </c>
      <c r="J194" s="11">
        <v>3.1547122489112995</v>
      </c>
      <c r="K194" s="24">
        <v>46.511546301614729</v>
      </c>
    </row>
    <row r="195" spans="1:11">
      <c r="A195" s="17">
        <v>193</v>
      </c>
      <c r="B195" s="2">
        <v>193</v>
      </c>
      <c r="C195" s="2" t="s">
        <v>646</v>
      </c>
      <c r="D195" s="5">
        <v>12612.553059849395</v>
      </c>
      <c r="E195" s="5">
        <v>22663.745259705611</v>
      </c>
      <c r="F195" s="5">
        <v>6.8765080912562624</v>
      </c>
      <c r="G195" s="11">
        <v>0.61688884236791641</v>
      </c>
      <c r="H195" s="11">
        <v>5.3388607697717667</v>
      </c>
      <c r="I195" s="11">
        <v>0.27836903681147307</v>
      </c>
      <c r="J195" s="11">
        <v>4.6071963521265831</v>
      </c>
      <c r="K195" s="24">
        <v>58.674467803700466</v>
      </c>
    </row>
    <row r="196" spans="1:11">
      <c r="A196" s="17">
        <v>194</v>
      </c>
      <c r="B196" s="2">
        <v>194</v>
      </c>
      <c r="C196" s="2" t="s">
        <v>646</v>
      </c>
      <c r="D196" s="5">
        <v>13741.753487234908</v>
      </c>
      <c r="E196" s="5">
        <v>22118.309975212032</v>
      </c>
      <c r="F196" s="5">
        <v>1.3691365031327294</v>
      </c>
      <c r="G196" s="11">
        <v>0.56209594636020488</v>
      </c>
      <c r="H196" s="11">
        <v>6.0132976898886987</v>
      </c>
      <c r="I196" s="11">
        <v>0.29059349232922616</v>
      </c>
      <c r="J196" s="11">
        <v>6.0427757082041795</v>
      </c>
      <c r="K196" s="24">
        <v>60.220481689884494</v>
      </c>
    </row>
    <row r="197" spans="1:11">
      <c r="A197" s="17">
        <v>195</v>
      </c>
      <c r="B197" s="2">
        <v>195</v>
      </c>
      <c r="C197" s="2" t="s">
        <v>646</v>
      </c>
      <c r="D197" s="5">
        <v>13454.422283071997</v>
      </c>
      <c r="E197" s="5">
        <v>23198.571459033265</v>
      </c>
      <c r="F197" s="5">
        <v>6.5057381491051345</v>
      </c>
      <c r="G197" s="11">
        <v>0.57812036032264591</v>
      </c>
      <c r="H197" s="11">
        <v>5.5211437474997034</v>
      </c>
      <c r="I197" s="11">
        <v>0.2581922773090537</v>
      </c>
      <c r="J197" s="11">
        <v>9.2375328239816987</v>
      </c>
      <c r="K197" s="24">
        <v>68.909735833273956</v>
      </c>
    </row>
    <row r="198" spans="1:11">
      <c r="A198" s="17">
        <v>196</v>
      </c>
      <c r="B198" s="2">
        <v>196</v>
      </c>
      <c r="C198" s="2" t="s">
        <v>646</v>
      </c>
      <c r="D198" s="5">
        <v>12992.961951791747</v>
      </c>
      <c r="E198" s="5">
        <v>21764.714123946324</v>
      </c>
      <c r="F198" s="5">
        <v>4.8412549790164192</v>
      </c>
      <c r="G198" s="11">
        <v>0.51082782049779785</v>
      </c>
      <c r="H198" s="11">
        <v>6.2796725493898826</v>
      </c>
      <c r="I198" s="11">
        <v>0.2084322418222837</v>
      </c>
      <c r="J198" s="11">
        <v>6.4761149138283587</v>
      </c>
      <c r="K198" s="24">
        <v>63.099886568802233</v>
      </c>
    </row>
    <row r="199" spans="1:11">
      <c r="A199" s="17">
        <v>197</v>
      </c>
      <c r="B199" s="2">
        <v>197</v>
      </c>
      <c r="C199" s="2" t="s">
        <v>648</v>
      </c>
      <c r="D199" s="5">
        <v>12917.525732742595</v>
      </c>
      <c r="E199" s="5">
        <v>22153.012257148948</v>
      </c>
      <c r="F199" s="5">
        <v>7.4582835981864335</v>
      </c>
      <c r="G199" s="11">
        <v>0.64084386448375885</v>
      </c>
      <c r="H199" s="11">
        <v>6.2039821601444451</v>
      </c>
      <c r="I199" s="11">
        <v>0.2456390878394541</v>
      </c>
      <c r="J199" s="11">
        <v>6.8198447722946627</v>
      </c>
      <c r="K199" s="24">
        <v>60.641874293641834</v>
      </c>
    </row>
    <row r="200" spans="1:11">
      <c r="A200" s="17">
        <v>198</v>
      </c>
      <c r="B200" s="2">
        <v>198</v>
      </c>
      <c r="C200" s="2" t="s">
        <v>647</v>
      </c>
      <c r="D200" s="5">
        <v>14380.2938011924</v>
      </c>
      <c r="E200" s="5">
        <v>22196.90447145651</v>
      </c>
      <c r="F200" s="5">
        <v>1.2639590788303465</v>
      </c>
      <c r="G200" s="11">
        <v>0.55835087808081885</v>
      </c>
      <c r="H200" s="11">
        <v>6.1304891974452254</v>
      </c>
      <c r="I200" s="11">
        <v>0.27340525654792147</v>
      </c>
      <c r="J200" s="11">
        <v>3.8947014577027845</v>
      </c>
      <c r="K200" s="24">
        <v>64.406684529842281</v>
      </c>
    </row>
    <row r="201" spans="1:11">
      <c r="A201" s="17">
        <v>199</v>
      </c>
      <c r="B201" s="2">
        <v>199</v>
      </c>
      <c r="C201" s="2" t="s">
        <v>646</v>
      </c>
      <c r="D201" s="5">
        <v>14515.472908211612</v>
      </c>
      <c r="E201" s="5">
        <v>19858.233546983247</v>
      </c>
      <c r="F201" s="5">
        <v>8.8886716245788264</v>
      </c>
      <c r="G201" s="11">
        <v>0.56175670967495539</v>
      </c>
      <c r="H201" s="11">
        <v>6.2092573563278926</v>
      </c>
      <c r="I201" s="11">
        <v>0.27334117756665366</v>
      </c>
      <c r="J201" s="11">
        <v>14.410399999219724</v>
      </c>
      <c r="K201" s="24">
        <v>52.595874184996504</v>
      </c>
    </row>
    <row r="202" spans="1:11">
      <c r="A202" s="17">
        <v>200</v>
      </c>
      <c r="B202" s="2">
        <v>200</v>
      </c>
      <c r="C202" s="2" t="s">
        <v>647</v>
      </c>
      <c r="D202" s="5">
        <v>13758.143150195045</v>
      </c>
      <c r="E202" s="5">
        <v>22563.410941074399</v>
      </c>
      <c r="F202" s="5">
        <v>3.591212940325029</v>
      </c>
      <c r="G202" s="11">
        <v>0.61738279890851122</v>
      </c>
      <c r="H202" s="11">
        <v>6.4132538297382631</v>
      </c>
      <c r="I202" s="11">
        <v>0.27431260321875017</v>
      </c>
      <c r="J202" s="11">
        <v>7.9152447397158072</v>
      </c>
      <c r="K202" s="24">
        <v>45.184473619035273</v>
      </c>
    </row>
    <row r="203" spans="1:11">
      <c r="A203" s="17">
        <v>201</v>
      </c>
      <c r="B203" s="2">
        <v>201</v>
      </c>
      <c r="C203" s="2" t="s">
        <v>648</v>
      </c>
      <c r="D203" s="5">
        <v>14098.267452251255</v>
      </c>
      <c r="E203" s="5">
        <v>22165.646389111789</v>
      </c>
      <c r="F203" s="5">
        <v>6.8444277838643828</v>
      </c>
      <c r="G203" s="11">
        <v>0.67842021819960796</v>
      </c>
      <c r="H203" s="11">
        <v>6.8088886418092294</v>
      </c>
      <c r="I203" s="11">
        <v>0.2588624000800519</v>
      </c>
      <c r="J203" s="11">
        <v>1.2042820304171515</v>
      </c>
      <c r="K203" s="24">
        <v>61.548714878410649</v>
      </c>
    </row>
    <row r="204" spans="1:11">
      <c r="A204" s="17">
        <v>202</v>
      </c>
      <c r="B204" s="2">
        <v>202</v>
      </c>
      <c r="C204" s="2" t="s">
        <v>647</v>
      </c>
      <c r="D204" s="5">
        <v>14436.942588187028</v>
      </c>
      <c r="E204" s="5">
        <v>22290.469193648751</v>
      </c>
      <c r="F204" s="5">
        <v>7.8307643816124326</v>
      </c>
      <c r="G204" s="11">
        <v>0.67974948741612029</v>
      </c>
      <c r="H204" s="11">
        <v>6.2832630355489378</v>
      </c>
      <c r="I204" s="11">
        <v>0.29284459571910704</v>
      </c>
      <c r="J204" s="11">
        <v>8.0154873074210151</v>
      </c>
      <c r="K204" s="24">
        <v>69.17818437226488</v>
      </c>
    </row>
    <row r="205" spans="1:11">
      <c r="A205" s="17">
        <v>203</v>
      </c>
      <c r="B205" s="2">
        <v>203</v>
      </c>
      <c r="C205" s="2" t="s">
        <v>646</v>
      </c>
      <c r="D205" s="5">
        <v>13871.583173791967</v>
      </c>
      <c r="E205" s="5">
        <v>22899.981278896594</v>
      </c>
      <c r="F205" s="5">
        <v>7.0832351971894312</v>
      </c>
      <c r="G205" s="11">
        <v>0.56829371706844545</v>
      </c>
      <c r="H205" s="11">
        <v>6.5598456594545347</v>
      </c>
      <c r="I205" s="11">
        <v>0.30120931670878237</v>
      </c>
      <c r="J205" s="11">
        <v>6.0962037308448531</v>
      </c>
      <c r="K205" s="24">
        <v>62.100736458730537</v>
      </c>
    </row>
    <row r="206" spans="1:11">
      <c r="A206" s="17">
        <v>204</v>
      </c>
      <c r="B206" s="2">
        <v>204</v>
      </c>
      <c r="C206" s="2" t="s">
        <v>647</v>
      </c>
      <c r="D206" s="5">
        <v>13629.415657529697</v>
      </c>
      <c r="E206" s="5">
        <v>21353.264575736393</v>
      </c>
      <c r="F206" s="5">
        <v>3.6583397363365364</v>
      </c>
      <c r="G206" s="11">
        <v>0.62633448330307151</v>
      </c>
      <c r="H206" s="11">
        <v>5.7487041036574134</v>
      </c>
      <c r="I206" s="11">
        <v>0.31043925024461716</v>
      </c>
      <c r="J206" s="11">
        <v>8.5936027399842239</v>
      </c>
      <c r="K206" s="24">
        <v>54.167290256902746</v>
      </c>
    </row>
    <row r="207" spans="1:11">
      <c r="A207" s="17">
        <v>205</v>
      </c>
      <c r="B207" s="2">
        <v>205</v>
      </c>
      <c r="C207" s="2" t="s">
        <v>647</v>
      </c>
      <c r="D207" s="5">
        <v>12040.72054428814</v>
      </c>
      <c r="E207" s="5">
        <v>23239.135036419175</v>
      </c>
      <c r="F207" s="5">
        <v>6.004445387663516</v>
      </c>
      <c r="G207" s="11">
        <v>0.6100521197993658</v>
      </c>
      <c r="H207" s="11">
        <v>6.9501827275791435</v>
      </c>
      <c r="I207" s="11">
        <v>0.35706109808827025</v>
      </c>
      <c r="J207" s="11">
        <v>7.2244018906897951</v>
      </c>
      <c r="K207" s="24">
        <v>60.868590128588679</v>
      </c>
    </row>
    <row r="208" spans="1:11">
      <c r="A208" s="17">
        <v>206</v>
      </c>
      <c r="B208" s="2">
        <v>206</v>
      </c>
      <c r="C208" s="2" t="s">
        <v>646</v>
      </c>
      <c r="D208" s="5">
        <v>11393.193967929781</v>
      </c>
      <c r="E208" s="5">
        <v>21963.163309919328</v>
      </c>
      <c r="F208" s="5">
        <v>4.7206013550358037</v>
      </c>
      <c r="G208" s="11">
        <v>0.56733796975895534</v>
      </c>
      <c r="H208" s="11">
        <v>6.3057990344088317</v>
      </c>
      <c r="I208" s="11">
        <v>0.21954365421335753</v>
      </c>
      <c r="J208" s="11">
        <v>8.9032939242591489</v>
      </c>
      <c r="K208" s="24">
        <v>67.022373913630148</v>
      </c>
    </row>
    <row r="209" spans="1:11">
      <c r="A209" s="17">
        <v>207</v>
      </c>
      <c r="B209" s="2">
        <v>207</v>
      </c>
      <c r="C209" s="2" t="s">
        <v>647</v>
      </c>
      <c r="D209" s="5">
        <v>14279.073407347985</v>
      </c>
      <c r="E209" s="5">
        <v>22523.500778788293</v>
      </c>
      <c r="F209" s="5">
        <v>2.7869819752659239</v>
      </c>
      <c r="G209" s="11">
        <v>0.60515070449473574</v>
      </c>
      <c r="H209" s="11">
        <v>5.4563973561345698</v>
      </c>
      <c r="I209" s="11">
        <v>0.34549469567038615</v>
      </c>
      <c r="J209" s="11">
        <v>8.8428049775396609</v>
      </c>
      <c r="K209" s="24">
        <v>59.041733803303217</v>
      </c>
    </row>
    <row r="210" spans="1:11">
      <c r="A210" s="17">
        <v>208</v>
      </c>
      <c r="B210" s="2">
        <v>208</v>
      </c>
      <c r="C210" s="2" t="s">
        <v>646</v>
      </c>
      <c r="D210" s="5">
        <v>13174.232658681083</v>
      </c>
      <c r="E210" s="5">
        <v>22938.978820092889</v>
      </c>
      <c r="F210" s="5">
        <v>6.7620118690747475</v>
      </c>
      <c r="G210" s="11">
        <v>0.63043162964168009</v>
      </c>
      <c r="H210" s="11">
        <v>6.142343928879594</v>
      </c>
      <c r="I210" s="11">
        <v>0.25624935285533867</v>
      </c>
      <c r="J210" s="11">
        <v>6.1729535382713481</v>
      </c>
      <c r="K210" s="24">
        <v>67.642615039601154</v>
      </c>
    </row>
    <row r="211" spans="1:11">
      <c r="A211" s="17">
        <v>209</v>
      </c>
      <c r="B211" s="2">
        <v>209</v>
      </c>
      <c r="C211" s="2" t="s">
        <v>648</v>
      </c>
      <c r="D211" s="5">
        <v>12295.517531352905</v>
      </c>
      <c r="E211" s="5">
        <v>22043.141318135458</v>
      </c>
      <c r="F211" s="5">
        <v>5.1935093346919601</v>
      </c>
      <c r="G211" s="11">
        <v>0.61752230859274282</v>
      </c>
      <c r="H211" s="11">
        <v>6.6892090376324482</v>
      </c>
      <c r="I211" s="11">
        <v>0.38745443187919593</v>
      </c>
      <c r="J211" s="11">
        <v>8.8309094485660786</v>
      </c>
      <c r="K211" s="24">
        <v>54.266653837960078</v>
      </c>
    </row>
    <row r="212" spans="1:11">
      <c r="A212" s="17">
        <v>210</v>
      </c>
      <c r="B212" s="2">
        <v>210</v>
      </c>
      <c r="C212" s="2" t="s">
        <v>648</v>
      </c>
      <c r="D212" s="5">
        <v>12765.633068962577</v>
      </c>
      <c r="E212" s="5">
        <v>21455.285893352557</v>
      </c>
      <c r="F212" s="5">
        <v>4.4903345914981472</v>
      </c>
      <c r="G212" s="11">
        <v>0.54177503307873853</v>
      </c>
      <c r="H212" s="11">
        <v>5.5959846742859405</v>
      </c>
      <c r="I212" s="11">
        <v>0.20020262799973354</v>
      </c>
      <c r="J212" s="11">
        <v>2.9886259275602685</v>
      </c>
      <c r="K212" s="24">
        <v>54.810119531300373</v>
      </c>
    </row>
    <row r="213" spans="1:11">
      <c r="A213" s="17">
        <v>211</v>
      </c>
      <c r="B213" s="2">
        <v>211</v>
      </c>
      <c r="C213" s="2" t="s">
        <v>648</v>
      </c>
      <c r="D213" s="5">
        <v>14560.783024759237</v>
      </c>
      <c r="E213" s="5">
        <v>20608.557126251544</v>
      </c>
      <c r="F213" s="5">
        <v>1.6677393102390923</v>
      </c>
      <c r="G213" s="11">
        <v>0.6285690693846846</v>
      </c>
      <c r="H213" s="11">
        <v>6.6669220445020834</v>
      </c>
      <c r="I213" s="11">
        <v>0.31350224017912298</v>
      </c>
      <c r="J213" s="11">
        <v>4.3170254762529554</v>
      </c>
      <c r="K213" s="24">
        <v>64.122572953073998</v>
      </c>
    </row>
    <row r="214" spans="1:11">
      <c r="A214" s="17">
        <v>212</v>
      </c>
      <c r="B214" s="2">
        <v>212</v>
      </c>
      <c r="C214" s="2" t="s">
        <v>648</v>
      </c>
      <c r="D214" s="5">
        <v>14181.793854046353</v>
      </c>
      <c r="E214" s="5">
        <v>21973.572590467957</v>
      </c>
      <c r="F214" s="5">
        <v>0.17679672119539447</v>
      </c>
      <c r="G214" s="11">
        <v>0.61377661694568819</v>
      </c>
      <c r="H214" s="11">
        <v>5.3310317943543701</v>
      </c>
      <c r="I214" s="11">
        <v>0.21806427828052621</v>
      </c>
      <c r="J214" s="11">
        <v>14.09592150114381</v>
      </c>
      <c r="K214" s="24">
        <v>61.914661086936761</v>
      </c>
    </row>
    <row r="215" spans="1:11">
      <c r="A215" s="17">
        <v>213</v>
      </c>
      <c r="B215" s="2">
        <v>213</v>
      </c>
      <c r="C215" s="2" t="s">
        <v>648</v>
      </c>
      <c r="D215" s="5">
        <v>12670.16954920671</v>
      </c>
      <c r="E215" s="5">
        <v>21144.020540304628</v>
      </c>
      <c r="F215" s="5">
        <v>7.2784744513292097</v>
      </c>
      <c r="G215" s="11">
        <v>0.51286573407996916</v>
      </c>
      <c r="H215" s="11">
        <v>6.1101158231496662</v>
      </c>
      <c r="I215" s="11">
        <v>0.25295162610475019</v>
      </c>
      <c r="J215" s="11">
        <v>6.935395103278414</v>
      </c>
      <c r="K215" s="24">
        <v>47.528301211047804</v>
      </c>
    </row>
    <row r="216" spans="1:11">
      <c r="A216" s="17">
        <v>214</v>
      </c>
      <c r="B216" s="2">
        <v>214</v>
      </c>
      <c r="C216" s="2" t="s">
        <v>646</v>
      </c>
      <c r="D216" s="5">
        <v>12853.962967025089</v>
      </c>
      <c r="E216" s="5">
        <v>23135.515281864646</v>
      </c>
      <c r="F216" s="5">
        <v>4.5771157272902272</v>
      </c>
      <c r="G216" s="11">
        <v>0.51640421831398275</v>
      </c>
      <c r="H216" s="11">
        <v>5.8753137137477403</v>
      </c>
      <c r="I216" s="11">
        <v>0.23865221124608071</v>
      </c>
      <c r="J216" s="11">
        <v>8.5463043706525674</v>
      </c>
      <c r="K216" s="24">
        <v>52.891659086287476</v>
      </c>
    </row>
    <row r="217" spans="1:11">
      <c r="A217" s="17">
        <v>215</v>
      </c>
      <c r="B217" s="2">
        <v>215</v>
      </c>
      <c r="C217" s="2" t="s">
        <v>648</v>
      </c>
      <c r="D217" s="5">
        <v>13020.309889039871</v>
      </c>
      <c r="E217" s="5">
        <v>20852.370600550348</v>
      </c>
      <c r="F217" s="5">
        <v>2.6010723642748488</v>
      </c>
      <c r="G217" s="11">
        <v>0.55023886993585625</v>
      </c>
      <c r="H217" s="11">
        <v>6.0909874775017521</v>
      </c>
      <c r="I217" s="11">
        <v>0.20034439177336028</v>
      </c>
      <c r="J217" s="11">
        <v>6.626060421095052</v>
      </c>
      <c r="K217" s="24">
        <v>63.140784922165679</v>
      </c>
    </row>
    <row r="218" spans="1:11">
      <c r="A218" s="17">
        <v>216</v>
      </c>
      <c r="B218" s="2">
        <v>216</v>
      </c>
      <c r="C218" s="2" t="s">
        <v>646</v>
      </c>
      <c r="D218" s="5">
        <v>13478.267869910431</v>
      </c>
      <c r="E218" s="5">
        <v>22679.090254313924</v>
      </c>
      <c r="F218" s="5">
        <v>5.1577253677414845</v>
      </c>
      <c r="G218" s="11">
        <v>0.58412918829053528</v>
      </c>
      <c r="H218" s="11">
        <v>5.5706498118126397</v>
      </c>
      <c r="I218" s="11">
        <v>0.25579077850195064</v>
      </c>
      <c r="J218" s="11">
        <v>8.9553868829446834</v>
      </c>
      <c r="K218" s="24">
        <v>60.585661812785659</v>
      </c>
    </row>
    <row r="219" spans="1:11">
      <c r="A219" s="17">
        <v>217</v>
      </c>
      <c r="B219" s="2">
        <v>217</v>
      </c>
      <c r="C219" s="2" t="s">
        <v>648</v>
      </c>
      <c r="D219" s="5">
        <v>12583.01267193581</v>
      </c>
      <c r="E219" s="5">
        <v>21499.873643733299</v>
      </c>
      <c r="F219" s="5">
        <v>7.6551957351575837</v>
      </c>
      <c r="G219" s="11">
        <v>0.57921075504855257</v>
      </c>
      <c r="H219" s="11">
        <v>4.9615014097082017</v>
      </c>
      <c r="I219" s="11">
        <v>0.24808615879876017</v>
      </c>
      <c r="J219" s="11">
        <v>9.9553243209087192</v>
      </c>
      <c r="K219" s="24">
        <v>72.301416860088651</v>
      </c>
    </row>
    <row r="220" spans="1:11">
      <c r="A220" s="17">
        <v>218</v>
      </c>
      <c r="B220" s="2">
        <v>218</v>
      </c>
      <c r="C220" s="2" t="s">
        <v>646</v>
      </c>
      <c r="D220" s="5">
        <v>13351.326965899878</v>
      </c>
      <c r="E220" s="5">
        <v>21556.326548306533</v>
      </c>
      <c r="F220" s="5">
        <v>5.1266618043719134</v>
      </c>
      <c r="G220" s="11">
        <v>0.52164300020085652</v>
      </c>
      <c r="H220" s="11">
        <v>5.7260739923958077</v>
      </c>
      <c r="I220" s="11">
        <v>0.28495666331379654</v>
      </c>
      <c r="J220" s="11">
        <v>5.8710981244579203</v>
      </c>
      <c r="K220" s="24">
        <v>57.724749178953246</v>
      </c>
    </row>
    <row r="221" spans="1:11">
      <c r="A221" s="17">
        <v>219</v>
      </c>
      <c r="B221" s="2">
        <v>219</v>
      </c>
      <c r="C221" s="2" t="s">
        <v>646</v>
      </c>
      <c r="D221" s="5">
        <v>12432.461740214583</v>
      </c>
      <c r="E221" s="5">
        <v>22525.257979395537</v>
      </c>
      <c r="F221" s="5">
        <v>3.791096681158713</v>
      </c>
      <c r="G221" s="11">
        <v>0.58677426198191829</v>
      </c>
      <c r="H221" s="11">
        <v>5.8524223425376327</v>
      </c>
      <c r="I221" s="11">
        <v>0.36533430902592956</v>
      </c>
      <c r="J221" s="11">
        <v>4.186611190716893</v>
      </c>
      <c r="K221" s="24">
        <v>65.649305753529191</v>
      </c>
    </row>
    <row r="222" spans="1:11">
      <c r="A222" s="17">
        <v>220</v>
      </c>
      <c r="B222" s="2">
        <v>220</v>
      </c>
      <c r="C222" s="2" t="s">
        <v>646</v>
      </c>
      <c r="D222" s="5">
        <v>13242.481936909988</v>
      </c>
      <c r="E222" s="5">
        <v>22424.204364142061</v>
      </c>
      <c r="F222" s="5">
        <v>6.7840169210348975</v>
      </c>
      <c r="G222" s="11">
        <v>0.60690747925837063</v>
      </c>
      <c r="H222" s="11">
        <v>5.2261435226466197</v>
      </c>
      <c r="I222" s="11">
        <v>0.27651074635470652</v>
      </c>
      <c r="J222" s="11">
        <v>3.4932655514970508</v>
      </c>
      <c r="K222" s="24">
        <v>64.026319224553575</v>
      </c>
    </row>
    <row r="223" spans="1:11">
      <c r="A223" s="17">
        <v>221</v>
      </c>
      <c r="B223" s="2">
        <v>221</v>
      </c>
      <c r="C223" s="2" t="s">
        <v>648</v>
      </c>
      <c r="D223" s="5">
        <v>14378.364762929939</v>
      </c>
      <c r="E223" s="5">
        <v>21828.168830324576</v>
      </c>
      <c r="F223" s="5">
        <v>6.1572335453838676</v>
      </c>
      <c r="G223" s="11">
        <v>0.5718813850115112</v>
      </c>
      <c r="H223" s="11">
        <v>5.9664880439185559</v>
      </c>
      <c r="I223" s="11">
        <v>0.24084025974800172</v>
      </c>
      <c r="J223" s="11">
        <v>4.1003449601115323</v>
      </c>
      <c r="K223" s="24">
        <v>55.561861909545499</v>
      </c>
    </row>
    <row r="224" spans="1:11">
      <c r="A224" s="17">
        <v>222</v>
      </c>
      <c r="B224" s="2">
        <v>222</v>
      </c>
      <c r="C224" s="2" t="s">
        <v>647</v>
      </c>
      <c r="D224" s="5">
        <v>12617.410671051564</v>
      </c>
      <c r="E224" s="5">
        <v>22308.602812699537</v>
      </c>
      <c r="F224" s="5">
        <v>7.4903855961174557</v>
      </c>
      <c r="G224" s="11">
        <v>0.66569828147185039</v>
      </c>
      <c r="H224" s="11">
        <v>5.8681729352678609</v>
      </c>
      <c r="I224" s="11">
        <v>0.20463724462117172</v>
      </c>
      <c r="J224" s="11">
        <v>7.3066374649946271</v>
      </c>
      <c r="K224" s="24">
        <v>52.905403117499375</v>
      </c>
    </row>
    <row r="225" spans="1:11">
      <c r="A225" s="17">
        <v>223</v>
      </c>
      <c r="B225" s="2">
        <v>223</v>
      </c>
      <c r="C225" s="2" t="s">
        <v>647</v>
      </c>
      <c r="D225" s="5">
        <v>12963.335616628845</v>
      </c>
      <c r="E225" s="5">
        <v>23637.34887876446</v>
      </c>
      <c r="F225" s="5">
        <v>5.6526953370230402</v>
      </c>
      <c r="G225" s="11">
        <v>0.49189390027895574</v>
      </c>
      <c r="H225" s="11">
        <v>6.5372959358693912</v>
      </c>
      <c r="I225" s="11">
        <v>0.27612495577570373</v>
      </c>
      <c r="J225" s="11">
        <v>-1.8519158183650246</v>
      </c>
      <c r="K225" s="24">
        <v>57.777427046926007</v>
      </c>
    </row>
    <row r="226" spans="1:11">
      <c r="A226" s="17">
        <v>224</v>
      </c>
      <c r="B226" s="2">
        <v>224</v>
      </c>
      <c r="C226" s="2" t="s">
        <v>647</v>
      </c>
      <c r="D226" s="5">
        <v>11693.996607615352</v>
      </c>
      <c r="E226" s="5">
        <v>22395.513501123351</v>
      </c>
      <c r="F226" s="5">
        <v>11.155484798752703</v>
      </c>
      <c r="G226" s="11">
        <v>0.6139482924016193</v>
      </c>
      <c r="H226" s="11">
        <v>5.5952513818226031</v>
      </c>
      <c r="I226" s="11">
        <v>0.44520305351354184</v>
      </c>
      <c r="J226" s="11">
        <v>6.210437186755688</v>
      </c>
      <c r="K226" s="24">
        <v>55.491556487192796</v>
      </c>
    </row>
    <row r="227" spans="1:11">
      <c r="A227" s="17">
        <v>225</v>
      </c>
      <c r="B227" s="2">
        <v>225</v>
      </c>
      <c r="C227" s="2" t="s">
        <v>648</v>
      </c>
      <c r="D227" s="5">
        <v>13372.582198140824</v>
      </c>
      <c r="E227" s="5">
        <v>21790.172472264676</v>
      </c>
      <c r="F227" s="5">
        <v>6.2018780975740881</v>
      </c>
      <c r="G227" s="11">
        <v>0.63859550197666981</v>
      </c>
      <c r="H227" s="11">
        <v>6.7475783334440926</v>
      </c>
      <c r="I227" s="11">
        <v>0.29032942255482341</v>
      </c>
      <c r="J227" s="11">
        <v>5.6397646447979684</v>
      </c>
      <c r="K227" s="24">
        <v>66.523386696573837</v>
      </c>
    </row>
    <row r="228" spans="1:11">
      <c r="A228" s="17">
        <v>226</v>
      </c>
      <c r="B228" s="2">
        <v>226</v>
      </c>
      <c r="C228" s="2" t="s">
        <v>648</v>
      </c>
      <c r="D228" s="5">
        <v>13908.788783052094</v>
      </c>
      <c r="E228" s="5">
        <v>21288.629402078659</v>
      </c>
      <c r="F228" s="5">
        <v>4.792397039597752</v>
      </c>
      <c r="G228" s="11">
        <v>0.56152980384358675</v>
      </c>
      <c r="H228" s="11">
        <v>5.6277382966572382</v>
      </c>
      <c r="I228" s="11">
        <v>0.31303327859361163</v>
      </c>
      <c r="J228" s="11">
        <v>3.3556048152835034</v>
      </c>
      <c r="K228" s="24">
        <v>60.476733538925785</v>
      </c>
    </row>
    <row r="229" spans="1:11">
      <c r="A229" s="17">
        <v>227</v>
      </c>
      <c r="B229" s="2">
        <v>227</v>
      </c>
      <c r="C229" s="2" t="s">
        <v>648</v>
      </c>
      <c r="D229" s="5">
        <v>14096.363879840444</v>
      </c>
      <c r="E229" s="5">
        <v>21417.43857873691</v>
      </c>
      <c r="F229" s="5">
        <v>5.8042118868861579</v>
      </c>
      <c r="G229" s="11">
        <v>0.54960939326410885</v>
      </c>
      <c r="H229" s="11">
        <v>6.4731338256648847</v>
      </c>
      <c r="I229" s="11">
        <v>0.32572150208081441</v>
      </c>
      <c r="J229" s="11">
        <v>3.0736771408331593</v>
      </c>
      <c r="K229" s="24">
        <v>70.438584850455484</v>
      </c>
    </row>
    <row r="230" spans="1:11">
      <c r="A230" s="17">
        <v>228</v>
      </c>
      <c r="B230" s="2">
        <v>228</v>
      </c>
      <c r="C230" s="2" t="s">
        <v>646</v>
      </c>
      <c r="D230" s="5">
        <v>13416.062752408996</v>
      </c>
      <c r="E230" s="5">
        <v>20631.613499062514</v>
      </c>
      <c r="F230" s="5">
        <v>6.6076728378057012</v>
      </c>
      <c r="G230" s="11">
        <v>0.51703905594768007</v>
      </c>
      <c r="H230" s="11">
        <v>6.3604763791283254</v>
      </c>
      <c r="I230" s="11">
        <v>0.26858967721593219</v>
      </c>
      <c r="J230" s="11">
        <v>6.4386421786733523</v>
      </c>
      <c r="K230" s="24">
        <v>55.539903316632447</v>
      </c>
    </row>
    <row r="231" spans="1:11">
      <c r="A231" s="17">
        <v>229</v>
      </c>
      <c r="B231" s="2">
        <v>229</v>
      </c>
      <c r="C231" s="2" t="s">
        <v>648</v>
      </c>
      <c r="D231" s="5">
        <v>13010.168113620401</v>
      </c>
      <c r="E231" s="5">
        <v>20845.060991632199</v>
      </c>
      <c r="F231" s="5">
        <v>7.3567556070947902</v>
      </c>
      <c r="G231" s="11">
        <v>0.58145849418797302</v>
      </c>
      <c r="H231" s="11">
        <v>5.6956506880362063</v>
      </c>
      <c r="I231" s="11">
        <v>0.35086957624755089</v>
      </c>
      <c r="J231" s="11">
        <v>5.1401742545661806</v>
      </c>
      <c r="K231" s="24">
        <v>66.052403322362082</v>
      </c>
    </row>
    <row r="232" spans="1:11">
      <c r="A232" s="17">
        <v>230</v>
      </c>
      <c r="B232" s="2">
        <v>230</v>
      </c>
      <c r="C232" s="2" t="s">
        <v>647</v>
      </c>
      <c r="D232" s="5">
        <v>11929.549368911628</v>
      </c>
      <c r="E232" s="5">
        <v>21511.574634132121</v>
      </c>
      <c r="F232" s="5">
        <v>4.9646904146420709</v>
      </c>
      <c r="G232" s="11">
        <v>0.52192152087518484</v>
      </c>
      <c r="H232" s="11">
        <v>5.9230997758856425</v>
      </c>
      <c r="I232" s="11">
        <v>0.30252257007716254</v>
      </c>
      <c r="J232" s="11">
        <v>8.975831186562889</v>
      </c>
      <c r="K232" s="24">
        <v>56.605202265666051</v>
      </c>
    </row>
    <row r="233" spans="1:11">
      <c r="A233" s="17">
        <v>231</v>
      </c>
      <c r="B233" s="2">
        <v>231</v>
      </c>
      <c r="C233" s="2" t="s">
        <v>646</v>
      </c>
      <c r="D233" s="5">
        <v>13194.169237291297</v>
      </c>
      <c r="E233" s="5">
        <v>21471.514348376804</v>
      </c>
      <c r="F233" s="5">
        <v>1.9366911503375448</v>
      </c>
      <c r="G233" s="11">
        <v>0.50824807573808362</v>
      </c>
      <c r="H233" s="11">
        <v>6.5507971441649566</v>
      </c>
      <c r="I233" s="11">
        <v>0.28879840305946347</v>
      </c>
      <c r="J233" s="11">
        <v>5.9553490269130167</v>
      </c>
      <c r="K233" s="24">
        <v>58.327203465414371</v>
      </c>
    </row>
    <row r="234" spans="1:11">
      <c r="A234" s="17">
        <v>232</v>
      </c>
      <c r="B234" s="2">
        <v>232</v>
      </c>
      <c r="C234" s="2" t="s">
        <v>648</v>
      </c>
      <c r="D234" s="5">
        <v>13332.861040222431</v>
      </c>
      <c r="E234" s="5">
        <v>23041.23126305014</v>
      </c>
      <c r="F234" s="5">
        <v>8.9218473041974065</v>
      </c>
      <c r="G234" s="11">
        <v>0.59608849701253352</v>
      </c>
      <c r="H234" s="11">
        <v>5.3885530982130909</v>
      </c>
      <c r="I234" s="11">
        <v>0.24763702073370952</v>
      </c>
      <c r="J234" s="11">
        <v>1.9529364226994845</v>
      </c>
      <c r="K234" s="24">
        <v>64.918604182448419</v>
      </c>
    </row>
    <row r="235" spans="1:11">
      <c r="A235" s="17">
        <v>233</v>
      </c>
      <c r="B235" s="2">
        <v>233</v>
      </c>
      <c r="C235" s="2" t="s">
        <v>647</v>
      </c>
      <c r="D235" s="5">
        <v>13339.006268548635</v>
      </c>
      <c r="E235" s="5">
        <v>21965.784530493256</v>
      </c>
      <c r="F235" s="5">
        <v>2.649594100336806</v>
      </c>
      <c r="G235" s="11">
        <v>0.52738259567267964</v>
      </c>
      <c r="H235" s="11">
        <v>5.8550697440045347</v>
      </c>
      <c r="I235" s="11">
        <v>0.3036969125032738</v>
      </c>
      <c r="J235" s="11">
        <v>14.158083825027777</v>
      </c>
      <c r="K235" s="24">
        <v>60.277452671359427</v>
      </c>
    </row>
    <row r="236" spans="1:11">
      <c r="A236" s="17">
        <v>234</v>
      </c>
      <c r="B236" s="2">
        <v>234</v>
      </c>
      <c r="C236" s="2" t="s">
        <v>647</v>
      </c>
      <c r="D236" s="5">
        <v>13397.032598955937</v>
      </c>
      <c r="E236" s="5">
        <v>21292.828539116745</v>
      </c>
      <c r="F236" s="5">
        <v>3.5704957641264699</v>
      </c>
      <c r="G236" s="11">
        <v>0.52677905109594581</v>
      </c>
      <c r="H236" s="11">
        <v>6.896060253894742</v>
      </c>
      <c r="I236" s="11">
        <v>0.17484242021921093</v>
      </c>
      <c r="J236" s="11">
        <v>7.9507930911316622</v>
      </c>
      <c r="K236" s="24">
        <v>65.248210626329822</v>
      </c>
    </row>
    <row r="237" spans="1:11">
      <c r="A237" s="17">
        <v>235</v>
      </c>
      <c r="B237" s="2">
        <v>235</v>
      </c>
      <c r="C237" s="2" t="s">
        <v>647</v>
      </c>
      <c r="D237" s="5">
        <v>13382.105630849926</v>
      </c>
      <c r="E237" s="5">
        <v>22643.242065896193</v>
      </c>
      <c r="F237" s="5">
        <v>5.4170357631910591</v>
      </c>
      <c r="G237" s="11">
        <v>0.56524039989089947</v>
      </c>
      <c r="H237" s="11">
        <v>5.566766694904512</v>
      </c>
      <c r="I237" s="11">
        <v>0.37589856299247915</v>
      </c>
      <c r="J237" s="11">
        <v>3.7991297949523402</v>
      </c>
      <c r="K237" s="24">
        <v>63.9402976693802</v>
      </c>
    </row>
    <row r="238" spans="1:11">
      <c r="A238" s="17">
        <v>236</v>
      </c>
      <c r="B238" s="2">
        <v>236</v>
      </c>
      <c r="C238" s="2" t="s">
        <v>647</v>
      </c>
      <c r="D238" s="5">
        <v>12637.614641104099</v>
      </c>
      <c r="E238" s="5">
        <v>22630.506411587266</v>
      </c>
      <c r="F238" s="5">
        <v>6.4809648420869124</v>
      </c>
      <c r="G238" s="11">
        <v>0.638994332611037</v>
      </c>
      <c r="H238" s="11">
        <v>6.2749311469848941</v>
      </c>
      <c r="I238" s="11">
        <v>0.26625957234229647</v>
      </c>
      <c r="J238" s="11">
        <v>6.0455513316313487</v>
      </c>
      <c r="K238" s="24">
        <v>58.190453388858444</v>
      </c>
    </row>
    <row r="239" spans="1:11">
      <c r="A239" s="17">
        <v>237</v>
      </c>
      <c r="B239" s="2">
        <v>237</v>
      </c>
      <c r="C239" s="2" t="s">
        <v>648</v>
      </c>
      <c r="D239" s="5">
        <v>13329.384951472255</v>
      </c>
      <c r="E239" s="5">
        <v>20636.253286283609</v>
      </c>
      <c r="F239" s="5">
        <v>5.2696783742085316</v>
      </c>
      <c r="G239" s="11">
        <v>0.6939488055184484</v>
      </c>
      <c r="H239" s="11">
        <v>6.4648744820771604</v>
      </c>
      <c r="I239" s="11">
        <v>0.26638773030483209</v>
      </c>
      <c r="J239" s="11">
        <v>11.11767392601482</v>
      </c>
      <c r="K239" s="24">
        <v>51.827209657946881</v>
      </c>
    </row>
    <row r="240" spans="1:11">
      <c r="A240" s="17">
        <v>238</v>
      </c>
      <c r="B240" s="2">
        <v>238</v>
      </c>
      <c r="C240" s="2" t="s">
        <v>646</v>
      </c>
      <c r="D240" s="5">
        <v>13339.876882351908</v>
      </c>
      <c r="E240" s="5">
        <v>22254.637205605395</v>
      </c>
      <c r="F240" s="5">
        <v>5.6257746666297024</v>
      </c>
      <c r="G240" s="11">
        <v>0.59743497117669908</v>
      </c>
      <c r="H240" s="11">
        <v>5.9865109475514906</v>
      </c>
      <c r="I240" s="11">
        <v>0.39713972118945096</v>
      </c>
      <c r="J240" s="11">
        <v>3.5890918585986116</v>
      </c>
      <c r="K240" s="24">
        <v>64.236188760757798</v>
      </c>
    </row>
    <row r="241" spans="1:11">
      <c r="A241" s="17">
        <v>239</v>
      </c>
      <c r="B241" s="2">
        <v>239</v>
      </c>
      <c r="C241" s="2" t="s">
        <v>646</v>
      </c>
      <c r="D241" s="5">
        <v>13835.356408204623</v>
      </c>
      <c r="E241" s="5">
        <v>22020.901444193005</v>
      </c>
      <c r="F241" s="5">
        <v>3.0769031440804682</v>
      </c>
      <c r="G241" s="11">
        <v>0.63761045638675573</v>
      </c>
      <c r="H241" s="11">
        <v>5.8229926102523528</v>
      </c>
      <c r="I241" s="11">
        <v>0.31300862720469924</v>
      </c>
      <c r="J241" s="11">
        <v>6.9116440608721392</v>
      </c>
      <c r="K241" s="24">
        <v>62.920023317076087</v>
      </c>
    </row>
    <row r="242" spans="1:11">
      <c r="A242" s="17">
        <v>240</v>
      </c>
      <c r="B242" s="2">
        <v>240</v>
      </c>
      <c r="C242" s="2" t="s">
        <v>647</v>
      </c>
      <c r="D242" s="5">
        <v>12742.467102040044</v>
      </c>
      <c r="E242" s="5">
        <v>22562.214273420541</v>
      </c>
      <c r="F242" s="5">
        <v>6.7707585789839939</v>
      </c>
      <c r="G242" s="11">
        <v>0.56558655595727036</v>
      </c>
      <c r="H242" s="11">
        <v>6.431821422325978</v>
      </c>
      <c r="I242" s="11">
        <v>0.3297106381133017</v>
      </c>
      <c r="J242" s="11">
        <v>6.787534041914431</v>
      </c>
      <c r="K242" s="24">
        <v>58.220998208775839</v>
      </c>
    </row>
    <row r="243" spans="1:11">
      <c r="A243" s="17">
        <v>241</v>
      </c>
      <c r="B243" s="2">
        <v>241</v>
      </c>
      <c r="C243" s="2" t="s">
        <v>648</v>
      </c>
      <c r="D243" s="5">
        <v>12468.597783705425</v>
      </c>
      <c r="E243" s="5">
        <v>22607.553721172299</v>
      </c>
      <c r="F243" s="5">
        <v>6.3772433952244754</v>
      </c>
      <c r="G243" s="11">
        <v>0.56964966642117365</v>
      </c>
      <c r="H243" s="11">
        <v>6.2102102443952241</v>
      </c>
      <c r="I243" s="11">
        <v>0.24411450550202973</v>
      </c>
      <c r="J243" s="11">
        <v>11.989008691112165</v>
      </c>
      <c r="K243" s="24">
        <v>78.544301712815653</v>
      </c>
    </row>
    <row r="244" spans="1:11">
      <c r="A244" s="17">
        <v>242</v>
      </c>
      <c r="B244" s="2">
        <v>242</v>
      </c>
      <c r="C244" s="2" t="s">
        <v>648</v>
      </c>
      <c r="D244" s="5">
        <v>12802.709757348728</v>
      </c>
      <c r="E244" s="5">
        <v>23189.378286587744</v>
      </c>
      <c r="F244" s="5">
        <v>7.547353085858056</v>
      </c>
      <c r="G244" s="11">
        <v>0.59931074682826879</v>
      </c>
      <c r="H244" s="11">
        <v>5.6222949725894829</v>
      </c>
      <c r="I244" s="11">
        <v>0.2324646394795491</v>
      </c>
      <c r="J244" s="11">
        <v>4.4679422698303357</v>
      </c>
      <c r="K244" s="24">
        <v>76.241129753968565</v>
      </c>
    </row>
    <row r="245" spans="1:11">
      <c r="A245" s="17">
        <v>243</v>
      </c>
      <c r="B245" s="2">
        <v>243</v>
      </c>
      <c r="C245" s="2" t="s">
        <v>647</v>
      </c>
      <c r="D245" s="5">
        <v>13447.783653870081</v>
      </c>
      <c r="E245" s="5">
        <v>22541.734840160207</v>
      </c>
      <c r="F245" s="5">
        <v>6.0023820751275778</v>
      </c>
      <c r="G245" s="11">
        <v>0.61149895615817518</v>
      </c>
      <c r="H245" s="11">
        <v>6.4908906791253536</v>
      </c>
      <c r="I245" s="11">
        <v>0.2309190632293121</v>
      </c>
      <c r="J245" s="11">
        <v>5.8047596332156433</v>
      </c>
      <c r="K245" s="24">
        <v>57.421910221907822</v>
      </c>
    </row>
    <row r="246" spans="1:11">
      <c r="A246" s="17">
        <v>244</v>
      </c>
      <c r="B246" s="2">
        <v>244</v>
      </c>
      <c r="C246" s="2" t="s">
        <v>646</v>
      </c>
      <c r="D246" s="5">
        <v>12620.326511065448</v>
      </c>
      <c r="E246" s="5">
        <v>20924.378024573816</v>
      </c>
      <c r="F246" s="5">
        <v>4.595574376100565</v>
      </c>
      <c r="G246" s="11">
        <v>0.47189227591734384</v>
      </c>
      <c r="H246" s="11">
        <v>6.3456517151836884</v>
      </c>
      <c r="I246" s="11">
        <v>0.27283849405150251</v>
      </c>
      <c r="J246" s="11">
        <v>8.616971815863824</v>
      </c>
      <c r="K246" s="24">
        <v>61.34859207515747</v>
      </c>
    </row>
    <row r="247" spans="1:11">
      <c r="A247" s="17">
        <v>245</v>
      </c>
      <c r="B247" s="2">
        <v>245</v>
      </c>
      <c r="C247" s="2" t="s">
        <v>647</v>
      </c>
      <c r="D247" s="5">
        <v>13088.567125347416</v>
      </c>
      <c r="E247" s="5">
        <v>22043.287121504836</v>
      </c>
      <c r="F247" s="5">
        <v>5.7652936370295791</v>
      </c>
      <c r="G247" s="11">
        <v>0.66143619204813153</v>
      </c>
      <c r="H247" s="11">
        <v>5.6371098331589415</v>
      </c>
      <c r="I247" s="11">
        <v>0.31289795197792047</v>
      </c>
      <c r="J247" s="11">
        <v>8.0559030037196386</v>
      </c>
      <c r="K247" s="24">
        <v>67.149362087222656</v>
      </c>
    </row>
    <row r="248" spans="1:11">
      <c r="A248" s="17">
        <v>246</v>
      </c>
      <c r="B248" s="2">
        <v>246</v>
      </c>
      <c r="C248" s="2" t="s">
        <v>647</v>
      </c>
      <c r="D248" s="5">
        <v>11783.292616424822</v>
      </c>
      <c r="E248" s="5">
        <v>21335.567286768783</v>
      </c>
      <c r="F248" s="5">
        <v>5.192958937261217</v>
      </c>
      <c r="G248" s="11">
        <v>0.55640983583434722</v>
      </c>
      <c r="H248" s="11">
        <v>6.4327399985801854</v>
      </c>
      <c r="I248" s="11">
        <v>0.3152126954519372</v>
      </c>
      <c r="J248" s="11">
        <v>8.6516252742743269</v>
      </c>
      <c r="K248" s="24">
        <v>54.98800309641156</v>
      </c>
    </row>
    <row r="249" spans="1:11">
      <c r="A249" s="17">
        <v>247</v>
      </c>
      <c r="B249" s="2">
        <v>247</v>
      </c>
      <c r="C249" s="2" t="s">
        <v>647</v>
      </c>
      <c r="D249" s="5">
        <v>13485.994368462505</v>
      </c>
      <c r="E249" s="5">
        <v>22189.885389252158</v>
      </c>
      <c r="F249" s="5">
        <v>8.128884574222873</v>
      </c>
      <c r="G249" s="11">
        <v>0.53974260513205086</v>
      </c>
      <c r="H249" s="11">
        <v>6.1353438288335234</v>
      </c>
      <c r="I249" s="11">
        <v>0.23857452645372179</v>
      </c>
      <c r="J249" s="11">
        <v>4.1014071908333323</v>
      </c>
      <c r="K249" s="24">
        <v>56.407051564021643</v>
      </c>
    </row>
    <row r="250" spans="1:11">
      <c r="A250" s="17">
        <v>248</v>
      </c>
      <c r="B250" s="2">
        <v>248</v>
      </c>
      <c r="C250" s="2" t="s">
        <v>648</v>
      </c>
      <c r="D250" s="5">
        <v>12803.155409752597</v>
      </c>
      <c r="E250" s="5">
        <v>20482.509573411808</v>
      </c>
      <c r="F250" s="5">
        <v>1.4943234497941447</v>
      </c>
      <c r="G250" s="11">
        <v>0.59296866650474844</v>
      </c>
      <c r="H250" s="11">
        <v>6.1653176484411993</v>
      </c>
      <c r="I250" s="11">
        <v>0.23901751995892484</v>
      </c>
      <c r="J250" s="11">
        <v>4.7909695425508732</v>
      </c>
      <c r="K250" s="24">
        <v>57.749969324526958</v>
      </c>
    </row>
    <row r="251" spans="1:11">
      <c r="A251" s="17">
        <v>249</v>
      </c>
      <c r="B251" s="2">
        <v>249</v>
      </c>
      <c r="C251" s="2" t="s">
        <v>646</v>
      </c>
      <c r="D251" s="5">
        <v>12431.16457339618</v>
      </c>
      <c r="E251" s="5">
        <v>22169.985929394461</v>
      </c>
      <c r="F251" s="5">
        <v>4.9877311898462793</v>
      </c>
      <c r="G251" s="11">
        <v>0.64756613674835539</v>
      </c>
      <c r="H251" s="11">
        <v>5.8547947593307832</v>
      </c>
      <c r="I251" s="11">
        <v>0.27560105889917397</v>
      </c>
      <c r="J251" s="11">
        <v>5.8562196187998312</v>
      </c>
      <c r="K251" s="24">
        <v>65.392431933980518</v>
      </c>
    </row>
    <row r="252" spans="1:11">
      <c r="A252" s="17">
        <v>250</v>
      </c>
      <c r="B252" s="2">
        <v>250</v>
      </c>
      <c r="C252" s="2" t="s">
        <v>648</v>
      </c>
      <c r="D252" s="5">
        <v>14566.640170638655</v>
      </c>
      <c r="E252" s="5">
        <v>21798.023173686961</v>
      </c>
      <c r="F252" s="5">
        <v>6.1721485023617859</v>
      </c>
      <c r="G252" s="11">
        <v>0.61791459386658976</v>
      </c>
      <c r="H252" s="11">
        <v>5.9141086103408576</v>
      </c>
      <c r="I252" s="11">
        <v>0.15747672369754584</v>
      </c>
      <c r="J252" s="11">
        <v>1.7402865628585902</v>
      </c>
      <c r="K252" s="24">
        <v>67.999110330417537</v>
      </c>
    </row>
    <row r="253" spans="1:11">
      <c r="A253" s="17">
        <v>251</v>
      </c>
      <c r="B253" s="2">
        <v>251</v>
      </c>
      <c r="C253" s="2" t="s">
        <v>646</v>
      </c>
      <c r="D253" s="5">
        <v>14270.106244335855</v>
      </c>
      <c r="E253" s="5">
        <v>22081.406602409988</v>
      </c>
      <c r="F253" s="5">
        <v>4.652775039136948</v>
      </c>
      <c r="G253" s="11">
        <v>0.59937794586294335</v>
      </c>
      <c r="H253" s="11">
        <v>5.8013585219088633</v>
      </c>
      <c r="I253" s="11">
        <v>0.43640170302707704</v>
      </c>
      <c r="J253" s="11">
        <v>7.0209046763833145</v>
      </c>
      <c r="K253" s="24">
        <v>69.83179952546125</v>
      </c>
    </row>
    <row r="254" spans="1:11">
      <c r="A254" s="17">
        <v>252</v>
      </c>
      <c r="B254" s="2">
        <v>252</v>
      </c>
      <c r="C254" s="2" t="s">
        <v>648</v>
      </c>
      <c r="D254" s="5">
        <v>11992.061668248587</v>
      </c>
      <c r="E254" s="5">
        <v>21749.457691384596</v>
      </c>
      <c r="F254" s="5">
        <v>6.4677200566229729</v>
      </c>
      <c r="G254" s="11">
        <v>0.582793685397337</v>
      </c>
      <c r="H254" s="11">
        <v>6.461458986165038</v>
      </c>
      <c r="I254" s="11">
        <v>0.24043062242482849</v>
      </c>
      <c r="J254" s="11">
        <v>5.7423899560743381</v>
      </c>
      <c r="K254" s="24">
        <v>58.812469406277344</v>
      </c>
    </row>
    <row r="255" spans="1:11">
      <c r="A255" s="17">
        <v>253</v>
      </c>
      <c r="B255" s="2">
        <v>253</v>
      </c>
      <c r="C255" s="2" t="s">
        <v>646</v>
      </c>
      <c r="D255" s="5">
        <v>14195.663193501039</v>
      </c>
      <c r="E255" s="5">
        <v>20930.998577568535</v>
      </c>
      <c r="F255" s="5">
        <v>9.7971581660267546</v>
      </c>
      <c r="G255" s="11">
        <v>0.54805783113697548</v>
      </c>
      <c r="H255" s="11">
        <v>6.4689507254763008</v>
      </c>
      <c r="I255" s="11">
        <v>0.2604032947608812</v>
      </c>
      <c r="J255" s="11">
        <v>6.0959490864937367</v>
      </c>
      <c r="K255" s="24">
        <v>57.983382719937438</v>
      </c>
    </row>
    <row r="256" spans="1:11">
      <c r="A256" s="17">
        <v>254</v>
      </c>
      <c r="B256" s="2">
        <v>254</v>
      </c>
      <c r="C256" s="2" t="s">
        <v>646</v>
      </c>
      <c r="D256" s="5">
        <v>13566.355842382271</v>
      </c>
      <c r="E256" s="5">
        <v>22057.829657569091</v>
      </c>
      <c r="F256" s="5">
        <v>5.6347464158825531</v>
      </c>
      <c r="G256" s="11">
        <v>0.57784439545575883</v>
      </c>
      <c r="H256" s="11">
        <v>6.3197051220992613</v>
      </c>
      <c r="I256" s="11">
        <v>0.2258023273152685</v>
      </c>
      <c r="J256" s="11">
        <v>3.5569266392761607</v>
      </c>
      <c r="K256" s="24">
        <v>55.563978126271834</v>
      </c>
    </row>
    <row r="257" spans="1:11">
      <c r="A257" s="17">
        <v>255</v>
      </c>
      <c r="B257" s="2">
        <v>255</v>
      </c>
      <c r="C257" s="2" t="s">
        <v>647</v>
      </c>
      <c r="D257" s="5">
        <v>13443.934331231665</v>
      </c>
      <c r="E257" s="5">
        <v>21524.364289688965</v>
      </c>
      <c r="F257" s="5">
        <v>8.1623313855807353</v>
      </c>
      <c r="G257" s="11">
        <v>0.5541615980007919</v>
      </c>
      <c r="H257" s="11">
        <v>6.2190269098618352</v>
      </c>
      <c r="I257" s="11">
        <v>0.26462124249816954</v>
      </c>
      <c r="J257" s="11">
        <v>1.3507534611793277</v>
      </c>
      <c r="K257" s="24">
        <v>59.950250674439488</v>
      </c>
    </row>
    <row r="258" spans="1:11">
      <c r="A258" s="17">
        <v>256</v>
      </c>
      <c r="B258" s="2">
        <v>256</v>
      </c>
      <c r="C258" s="2" t="s">
        <v>646</v>
      </c>
      <c r="D258" s="5">
        <v>12241.668396424009</v>
      </c>
      <c r="E258" s="5">
        <v>21466.093703110819</v>
      </c>
      <c r="F258" s="5">
        <v>9.0222311193492786</v>
      </c>
      <c r="G258" s="11">
        <v>0.6950958020286635</v>
      </c>
      <c r="H258" s="11">
        <v>5.4696632834258558</v>
      </c>
      <c r="I258" s="11">
        <v>0.16805472977423053</v>
      </c>
      <c r="J258" s="11">
        <v>5.0263045762997978</v>
      </c>
      <c r="K258" s="24">
        <v>57.609540519970054</v>
      </c>
    </row>
    <row r="259" spans="1:11">
      <c r="A259" s="17">
        <v>257</v>
      </c>
      <c r="B259" s="2">
        <v>257</v>
      </c>
      <c r="C259" s="2" t="s">
        <v>648</v>
      </c>
      <c r="D259" s="5">
        <v>12934.183582952917</v>
      </c>
      <c r="E259" s="5">
        <v>21361.055875785969</v>
      </c>
      <c r="F259" s="5">
        <v>4.7882378787171618</v>
      </c>
      <c r="G259" s="11">
        <v>0.66991012746148049</v>
      </c>
      <c r="H259" s="11">
        <v>5.7425627792769625</v>
      </c>
      <c r="I259" s="11">
        <v>0.27759028700031196</v>
      </c>
      <c r="J259" s="11">
        <v>6.4844927129800896</v>
      </c>
      <c r="K259" s="24">
        <v>73.495418194113157</v>
      </c>
    </row>
    <row r="260" spans="1:11">
      <c r="A260" s="17">
        <v>258</v>
      </c>
      <c r="B260" s="2">
        <v>258</v>
      </c>
      <c r="C260" s="2" t="s">
        <v>646</v>
      </c>
      <c r="D260" s="5">
        <v>14494.291686102022</v>
      </c>
      <c r="E260" s="5">
        <v>21870.276843400934</v>
      </c>
      <c r="F260" s="5">
        <v>9.4584387067761853</v>
      </c>
      <c r="G260" s="11">
        <v>0.6298015296022641</v>
      </c>
      <c r="H260" s="11">
        <v>5.6662841875208265</v>
      </c>
      <c r="I260" s="11">
        <v>0.31345271795273222</v>
      </c>
      <c r="J260" s="11">
        <v>9.940423988591963</v>
      </c>
      <c r="K260" s="24">
        <v>68.002675283325701</v>
      </c>
    </row>
    <row r="261" spans="1:11">
      <c r="A261" s="17">
        <v>259</v>
      </c>
      <c r="B261" s="2">
        <v>259</v>
      </c>
      <c r="C261" s="2" t="s">
        <v>648</v>
      </c>
      <c r="D261" s="5">
        <v>13293.03801889744</v>
      </c>
      <c r="E261" s="5">
        <v>22616.46392707873</v>
      </c>
      <c r="F261" s="5">
        <v>4.6798638112086408</v>
      </c>
      <c r="G261" s="11">
        <v>0.55541182419692636</v>
      </c>
      <c r="H261" s="11">
        <v>6.0623077034176127</v>
      </c>
      <c r="I261" s="11">
        <v>0.22721879465918393</v>
      </c>
      <c r="J261" s="11">
        <v>9.4663344112362644</v>
      </c>
      <c r="K261" s="24">
        <v>52.184463449382022</v>
      </c>
    </row>
    <row r="262" spans="1:11">
      <c r="A262" s="17">
        <v>260</v>
      </c>
      <c r="B262" s="2">
        <v>260</v>
      </c>
      <c r="C262" s="2" t="s">
        <v>647</v>
      </c>
      <c r="D262" s="5">
        <v>14552.996840617359</v>
      </c>
      <c r="E262" s="5">
        <v>21538.719981435424</v>
      </c>
      <c r="F262" s="5">
        <v>5.5994315068410359</v>
      </c>
      <c r="G262" s="11">
        <v>0.61745934845821471</v>
      </c>
      <c r="H262" s="11">
        <v>6.4680056801091119</v>
      </c>
      <c r="I262" s="11">
        <v>0.2696284004282643</v>
      </c>
      <c r="J262" s="11">
        <v>10.10494606607185</v>
      </c>
      <c r="K262" s="24">
        <v>64.124856039936461</v>
      </c>
    </row>
    <row r="263" spans="1:11">
      <c r="A263" s="17">
        <v>261</v>
      </c>
      <c r="B263" s="2">
        <v>261</v>
      </c>
      <c r="C263" s="2" t="s">
        <v>648</v>
      </c>
      <c r="D263" s="5">
        <v>12683.093468918903</v>
      </c>
      <c r="E263" s="5">
        <v>21800.712435833266</v>
      </c>
      <c r="F263" s="5">
        <v>2.7587734291109953</v>
      </c>
      <c r="G263" s="11">
        <v>0.64589825421426217</v>
      </c>
      <c r="H263" s="11">
        <v>5.1390875903882112</v>
      </c>
      <c r="I263" s="11">
        <v>0.30959715294740819</v>
      </c>
      <c r="J263" s="11">
        <v>8.9087214867143736</v>
      </c>
      <c r="K263" s="24">
        <v>61.376717278101026</v>
      </c>
    </row>
    <row r="264" spans="1:11">
      <c r="A264" s="17">
        <v>262</v>
      </c>
      <c r="B264" s="2">
        <v>262</v>
      </c>
      <c r="C264" s="2" t="s">
        <v>648</v>
      </c>
      <c r="D264" s="5">
        <v>12838.546577082687</v>
      </c>
      <c r="E264" s="5">
        <v>22084.393951444799</v>
      </c>
      <c r="F264" s="5">
        <v>6.7915191362608383</v>
      </c>
      <c r="G264" s="11">
        <v>0.68780963137105577</v>
      </c>
      <c r="H264" s="11">
        <v>6.6305672079908469</v>
      </c>
      <c r="I264" s="11">
        <v>0.37713888628743009</v>
      </c>
      <c r="J264" s="11">
        <v>10.15601317180003</v>
      </c>
      <c r="K264" s="24">
        <v>51.652542135459228</v>
      </c>
    </row>
    <row r="265" spans="1:11">
      <c r="A265" s="17">
        <v>263</v>
      </c>
      <c r="B265" s="2">
        <v>263</v>
      </c>
      <c r="C265" s="2" t="s">
        <v>648</v>
      </c>
      <c r="D265" s="5">
        <v>13847.861732980326</v>
      </c>
      <c r="E265" s="5">
        <v>22726.200942997384</v>
      </c>
      <c r="F265" s="5">
        <v>5.8532297940310016</v>
      </c>
      <c r="G265" s="11">
        <v>0.56813986992783616</v>
      </c>
      <c r="H265" s="11">
        <v>5.5214329470674635</v>
      </c>
      <c r="I265" s="11">
        <v>0.27992536604144336</v>
      </c>
      <c r="J265" s="11">
        <v>9.5659658324987937</v>
      </c>
      <c r="K265" s="24">
        <v>71.19691859907762</v>
      </c>
    </row>
    <row r="266" spans="1:11">
      <c r="A266" s="17">
        <v>264</v>
      </c>
      <c r="B266" s="2">
        <v>264</v>
      </c>
      <c r="C266" s="2" t="s">
        <v>647</v>
      </c>
      <c r="D266" s="5">
        <v>14003.551991887596</v>
      </c>
      <c r="E266" s="5">
        <v>20858.846430200647</v>
      </c>
      <c r="F266" s="5">
        <v>4.2640914229714397</v>
      </c>
      <c r="G266" s="11">
        <v>0.58650540350645319</v>
      </c>
      <c r="H266" s="11">
        <v>5.3053881255629527</v>
      </c>
      <c r="I266" s="11">
        <v>0.23826364098524211</v>
      </c>
      <c r="J266" s="11">
        <v>7.8664257798303412</v>
      </c>
      <c r="K266" s="24">
        <v>73.05688347637188</v>
      </c>
    </row>
    <row r="267" spans="1:11">
      <c r="A267" s="17">
        <v>265</v>
      </c>
      <c r="B267" s="2">
        <v>265</v>
      </c>
      <c r="C267" s="2" t="s">
        <v>647</v>
      </c>
      <c r="D267" s="5">
        <v>14028.901655589087</v>
      </c>
      <c r="E267" s="5">
        <v>22697.602962125093</v>
      </c>
      <c r="F267" s="5">
        <v>4.0753403513526862</v>
      </c>
      <c r="G267" s="11">
        <v>0.62327306234583379</v>
      </c>
      <c r="H267" s="11">
        <v>5.4666752146715076</v>
      </c>
      <c r="I267" s="11">
        <v>0.29337492975357238</v>
      </c>
      <c r="J267" s="11">
        <v>1.5529119737542247</v>
      </c>
      <c r="K267" s="24">
        <v>51.939012649151849</v>
      </c>
    </row>
    <row r="268" spans="1:11">
      <c r="A268" s="17">
        <v>266</v>
      </c>
      <c r="B268" s="2">
        <v>266</v>
      </c>
      <c r="C268" s="2" t="s">
        <v>646</v>
      </c>
      <c r="D268" s="5">
        <v>13818.283146289266</v>
      </c>
      <c r="E268" s="5">
        <v>22346.19632144997</v>
      </c>
      <c r="F268" s="5">
        <v>8.8845070410634506</v>
      </c>
      <c r="G268" s="11">
        <v>0.51058271233050623</v>
      </c>
      <c r="H268" s="11">
        <v>6.24308096136809</v>
      </c>
      <c r="I268" s="11">
        <v>0.26580582585736012</v>
      </c>
      <c r="J268" s="11">
        <v>9.4271191811643327</v>
      </c>
      <c r="K268" s="24">
        <v>63.098817082929784</v>
      </c>
    </row>
    <row r="269" spans="1:11">
      <c r="A269" s="17">
        <v>267</v>
      </c>
      <c r="B269" s="2">
        <v>267</v>
      </c>
      <c r="C269" s="2" t="s">
        <v>646</v>
      </c>
      <c r="D269" s="5">
        <v>12891.505203011709</v>
      </c>
      <c r="E269" s="5">
        <v>22101.083577126265</v>
      </c>
      <c r="F269" s="5">
        <v>4.5580199188925761</v>
      </c>
      <c r="G269" s="11">
        <v>0.64559866371273533</v>
      </c>
      <c r="H269" s="11">
        <v>5.9173417634746635</v>
      </c>
      <c r="I269" s="11">
        <v>0.23828587843992866</v>
      </c>
      <c r="J269" s="11">
        <v>12.598874636483149</v>
      </c>
      <c r="K269" s="24">
        <v>55.691671705439788</v>
      </c>
    </row>
    <row r="270" spans="1:11">
      <c r="A270" s="17">
        <v>268</v>
      </c>
      <c r="B270" s="2">
        <v>268</v>
      </c>
      <c r="C270" s="2" t="s">
        <v>647</v>
      </c>
      <c r="D270" s="5">
        <v>14137.806370168781</v>
      </c>
      <c r="E270" s="5">
        <v>22839.62732417378</v>
      </c>
      <c r="F270" s="5">
        <v>4.8339154428340478</v>
      </c>
      <c r="G270" s="11">
        <v>0.58743484470032858</v>
      </c>
      <c r="H270" s="11">
        <v>5.8713046234685713</v>
      </c>
      <c r="I270" s="11">
        <v>0.34385380559298939</v>
      </c>
      <c r="J270" s="11">
        <v>6.4573840029155223</v>
      </c>
      <c r="K270" s="24">
        <v>62.034473844675816</v>
      </c>
    </row>
    <row r="271" spans="1:11">
      <c r="A271" s="17">
        <v>269</v>
      </c>
      <c r="B271" s="2">
        <v>269</v>
      </c>
      <c r="C271" s="2" t="s">
        <v>647</v>
      </c>
      <c r="D271" s="5">
        <v>12454.018583636005</v>
      </c>
      <c r="E271" s="5">
        <v>20068.855694261874</v>
      </c>
      <c r="F271" s="5">
        <v>5.7582957268387034</v>
      </c>
      <c r="G271" s="11">
        <v>0.66947451813466619</v>
      </c>
      <c r="H271" s="11">
        <v>5.9479944668134372</v>
      </c>
      <c r="I271" s="11">
        <v>0.22317903915747594</v>
      </c>
      <c r="J271" s="11">
        <v>10.284252067022269</v>
      </c>
      <c r="K271" s="24">
        <v>60.877267375667273</v>
      </c>
    </row>
    <row r="272" spans="1:11">
      <c r="A272" s="17">
        <v>270</v>
      </c>
      <c r="B272" s="2">
        <v>270</v>
      </c>
      <c r="C272" s="2" t="s">
        <v>648</v>
      </c>
      <c r="D272" s="5">
        <v>13905.984356139177</v>
      </c>
      <c r="E272" s="5">
        <v>23661.355673538783</v>
      </c>
      <c r="F272" s="5">
        <v>7.9521175254803964</v>
      </c>
      <c r="G272" s="11">
        <v>0.49613180303713311</v>
      </c>
      <c r="H272" s="11">
        <v>5.6291592958893339</v>
      </c>
      <c r="I272" s="11">
        <v>0.30193664240598084</v>
      </c>
      <c r="J272" s="11">
        <v>9.8961158714977024</v>
      </c>
      <c r="K272" s="24">
        <v>57.119435345159403</v>
      </c>
    </row>
    <row r="273" spans="1:11">
      <c r="A273" s="17">
        <v>271</v>
      </c>
      <c r="B273" s="2">
        <v>271</v>
      </c>
      <c r="C273" s="2" t="s">
        <v>647</v>
      </c>
      <c r="D273" s="5">
        <v>11502.009552028701</v>
      </c>
      <c r="E273" s="5">
        <v>23172.527737187484</v>
      </c>
      <c r="F273" s="5">
        <v>4.3294883984863262</v>
      </c>
      <c r="G273" s="11">
        <v>0.65431147361668995</v>
      </c>
      <c r="H273" s="11">
        <v>5.7701632017539701</v>
      </c>
      <c r="I273" s="11">
        <v>0.2100466517727182</v>
      </c>
      <c r="J273" s="11">
        <v>6.2293972775845292</v>
      </c>
      <c r="K273" s="24">
        <v>53.374217179941482</v>
      </c>
    </row>
    <row r="274" spans="1:11">
      <c r="A274" s="17">
        <v>272</v>
      </c>
      <c r="B274" s="2">
        <v>272</v>
      </c>
      <c r="C274" s="2" t="s">
        <v>646</v>
      </c>
      <c r="D274" s="5">
        <v>13863.951376375715</v>
      </c>
      <c r="E274" s="5">
        <v>23305.599772356363</v>
      </c>
      <c r="F274" s="5">
        <v>4.6161126053511978</v>
      </c>
      <c r="G274" s="11">
        <v>0.63181326174235442</v>
      </c>
      <c r="H274" s="11">
        <v>5.3562578393631917</v>
      </c>
      <c r="I274" s="11">
        <v>0.23286067099163121</v>
      </c>
      <c r="J274" s="11">
        <v>5.8248619858480639</v>
      </c>
      <c r="K274" s="24">
        <v>63.080544803023898</v>
      </c>
    </row>
    <row r="275" spans="1:11">
      <c r="A275" s="17">
        <v>273</v>
      </c>
      <c r="B275" s="2">
        <v>273</v>
      </c>
      <c r="C275" s="2" t="s">
        <v>647</v>
      </c>
      <c r="D275" s="5">
        <v>13276.188378991881</v>
      </c>
      <c r="E275" s="5">
        <v>22730.324478288385</v>
      </c>
      <c r="F275" s="5">
        <v>7.0030344287097321</v>
      </c>
      <c r="G275" s="11">
        <v>0.6330191041604849</v>
      </c>
      <c r="H275" s="11">
        <v>6.9068361238907379</v>
      </c>
      <c r="I275" s="11">
        <v>0.25098580585065067</v>
      </c>
      <c r="J275" s="11">
        <v>1.7446518945920149</v>
      </c>
      <c r="K275" s="24">
        <v>62.203445027516594</v>
      </c>
    </row>
    <row r="276" spans="1:11">
      <c r="A276" s="17">
        <v>274</v>
      </c>
      <c r="B276" s="2">
        <v>274</v>
      </c>
      <c r="C276" s="2" t="s">
        <v>646</v>
      </c>
      <c r="D276" s="5">
        <v>11935.253719681148</v>
      </c>
      <c r="E276" s="5">
        <v>22723.237354511657</v>
      </c>
      <c r="F276" s="5">
        <v>0.82746951439458627</v>
      </c>
      <c r="G276" s="11">
        <v>0.53981479110807418</v>
      </c>
      <c r="H276" s="11">
        <v>6.610846738482163</v>
      </c>
      <c r="I276" s="11">
        <v>0.42018006502941718</v>
      </c>
      <c r="J276" s="11">
        <v>8.6289764781307419</v>
      </c>
      <c r="K276" s="24">
        <v>57.233832408480524</v>
      </c>
    </row>
    <row r="277" spans="1:11">
      <c r="A277" s="17">
        <v>275</v>
      </c>
      <c r="B277" s="2">
        <v>275</v>
      </c>
      <c r="C277" s="2" t="s">
        <v>647</v>
      </c>
      <c r="D277" s="5">
        <v>13741.183688804247</v>
      </c>
      <c r="E277" s="5">
        <v>21759.811890660349</v>
      </c>
      <c r="F277" s="5">
        <v>5.8402642742585229</v>
      </c>
      <c r="G277" s="11">
        <v>0.67213941491791052</v>
      </c>
      <c r="H277" s="11">
        <v>6.4230797526794809</v>
      </c>
      <c r="I277" s="11">
        <v>0.25612850984500257</v>
      </c>
      <c r="J277" s="11">
        <v>4.7574947237083949</v>
      </c>
      <c r="K277" s="24">
        <v>57.586375911073176</v>
      </c>
    </row>
    <row r="278" spans="1:11">
      <c r="A278" s="17">
        <v>276</v>
      </c>
      <c r="B278" s="2">
        <v>276</v>
      </c>
      <c r="C278" s="2" t="s">
        <v>647</v>
      </c>
      <c r="D278" s="5">
        <v>14267.766569215544</v>
      </c>
      <c r="E278" s="5">
        <v>20919.980162943393</v>
      </c>
      <c r="F278" s="5">
        <v>4.5642613715308542</v>
      </c>
      <c r="G278" s="11">
        <v>0.58627469513230612</v>
      </c>
      <c r="H278" s="11">
        <v>4.812019544989365</v>
      </c>
      <c r="I278" s="11">
        <v>0.39151013397669887</v>
      </c>
      <c r="J278" s="11">
        <v>9.1312733740372529</v>
      </c>
      <c r="K278" s="24">
        <v>64.985200536775395</v>
      </c>
    </row>
    <row r="279" spans="1:11">
      <c r="A279" s="17">
        <v>277</v>
      </c>
      <c r="B279" s="2">
        <v>277</v>
      </c>
      <c r="C279" s="2" t="s">
        <v>646</v>
      </c>
      <c r="D279" s="5">
        <v>13308.907223514487</v>
      </c>
      <c r="E279" s="5">
        <v>21568.246783771901</v>
      </c>
      <c r="F279" s="5">
        <v>5.5933961143246123</v>
      </c>
      <c r="G279" s="11">
        <v>0.63561418376484657</v>
      </c>
      <c r="H279" s="11">
        <v>6.2963691678248175</v>
      </c>
      <c r="I279" s="11">
        <v>0.29219575945900944</v>
      </c>
      <c r="J279" s="11">
        <v>4.824819052367137</v>
      </c>
      <c r="K279" s="24">
        <v>63.803221437558207</v>
      </c>
    </row>
    <row r="280" spans="1:11">
      <c r="A280" s="17">
        <v>278</v>
      </c>
      <c r="B280" s="2">
        <v>278</v>
      </c>
      <c r="C280" s="2" t="s">
        <v>646</v>
      </c>
      <c r="D280" s="5">
        <v>12537.022935472285</v>
      </c>
      <c r="E280" s="5">
        <v>22115.899359504983</v>
      </c>
      <c r="F280" s="5">
        <v>5.8310105479968186</v>
      </c>
      <c r="G280" s="11">
        <v>0.64770140753244054</v>
      </c>
      <c r="H280" s="11">
        <v>5.8225700847821678</v>
      </c>
      <c r="I280" s="11">
        <v>0.30120931670878237</v>
      </c>
      <c r="J280" s="11">
        <v>10.483958718273559</v>
      </c>
      <c r="K280" s="24">
        <v>68.810781842550753</v>
      </c>
    </row>
    <row r="281" spans="1:11">
      <c r="A281" s="17">
        <v>279</v>
      </c>
      <c r="B281" s="2">
        <v>279</v>
      </c>
      <c r="C281" s="2" t="s">
        <v>646</v>
      </c>
      <c r="D281" s="5">
        <v>12316.21649389688</v>
      </c>
      <c r="E281" s="5">
        <v>20498.727228186472</v>
      </c>
      <c r="F281" s="5">
        <v>7.5997547171091426</v>
      </c>
      <c r="G281" s="11">
        <v>0.68296531654486903</v>
      </c>
      <c r="H281" s="11">
        <v>6.1960375048999445</v>
      </c>
      <c r="I281" s="11">
        <v>0.31914140997925644</v>
      </c>
      <c r="J281" s="11">
        <v>8.6481766622049214</v>
      </c>
      <c r="K281" s="24">
        <v>65.810934650380389</v>
      </c>
    </row>
    <row r="282" spans="1:11">
      <c r="A282" s="17">
        <v>280</v>
      </c>
      <c r="B282" s="2">
        <v>280</v>
      </c>
      <c r="C282" s="2" t="s">
        <v>646</v>
      </c>
      <c r="D282" s="5">
        <v>14154.348032430951</v>
      </c>
      <c r="E282" s="5">
        <v>22449.401346420491</v>
      </c>
      <c r="F282" s="5">
        <v>4.9747304229476939</v>
      </c>
      <c r="G282" s="11">
        <v>0.60821137741077114</v>
      </c>
      <c r="H282" s="11">
        <v>6.0679627803892195</v>
      </c>
      <c r="I282" s="11">
        <v>0.19851199624738003</v>
      </c>
      <c r="J282" s="11">
        <v>8.3521526040320602</v>
      </c>
      <c r="K282" s="24">
        <v>54.086358240881239</v>
      </c>
    </row>
    <row r="283" spans="1:11">
      <c r="A283" s="17">
        <v>281</v>
      </c>
      <c r="B283" s="2">
        <v>281</v>
      </c>
      <c r="C283" s="2" t="s">
        <v>646</v>
      </c>
      <c r="D283" s="5">
        <v>13010.949596942899</v>
      </c>
      <c r="E283" s="5">
        <v>22469.939101028576</v>
      </c>
      <c r="F283" s="5">
        <v>6.0751158755074428</v>
      </c>
      <c r="G283" s="11">
        <v>0.58495945168833718</v>
      </c>
      <c r="H283" s="11">
        <v>5.5184154681875803</v>
      </c>
      <c r="I283" s="11">
        <v>0.28338321709567937</v>
      </c>
      <c r="J283" s="11">
        <v>5.4682944143090468</v>
      </c>
      <c r="K283" s="24">
        <v>60.13725141698815</v>
      </c>
    </row>
    <row r="284" spans="1:11">
      <c r="A284" s="17">
        <v>282</v>
      </c>
      <c r="B284" s="2">
        <v>282</v>
      </c>
      <c r="C284" s="2" t="s">
        <v>647</v>
      </c>
      <c r="D284" s="5">
        <v>13263.347223297549</v>
      </c>
      <c r="E284" s="5">
        <v>21994.809121224098</v>
      </c>
      <c r="F284" s="5">
        <v>4.2572968615850257</v>
      </c>
      <c r="G284" s="11">
        <v>0.6800397274026182</v>
      </c>
      <c r="H284" s="11">
        <v>6.0490667747330313</v>
      </c>
      <c r="I284" s="11">
        <v>0.38954738600252314</v>
      </c>
      <c r="J284" s="11">
        <v>3.0446331337001071</v>
      </c>
      <c r="K284" s="24">
        <v>70.920308593428857</v>
      </c>
    </row>
    <row r="285" spans="1:11">
      <c r="A285" s="17">
        <v>283</v>
      </c>
      <c r="B285" s="2">
        <v>283</v>
      </c>
      <c r="C285" s="2" t="s">
        <v>646</v>
      </c>
      <c r="D285" s="5">
        <v>11696.797851296813</v>
      </c>
      <c r="E285" s="5">
        <v>22781.005729484168</v>
      </c>
      <c r="F285" s="5">
        <v>3.3604852528305926</v>
      </c>
      <c r="G285" s="11">
        <v>0.73352716683875774</v>
      </c>
      <c r="H285" s="11">
        <v>5.4734120940940407</v>
      </c>
      <c r="I285" s="11">
        <v>0.22903158611326946</v>
      </c>
      <c r="J285" s="11">
        <v>9.7818460378224223</v>
      </c>
      <c r="K285" s="24">
        <v>62.961642246027353</v>
      </c>
    </row>
    <row r="286" spans="1:11">
      <c r="A286" s="17">
        <v>284</v>
      </c>
      <c r="B286" s="2">
        <v>284</v>
      </c>
      <c r="C286" s="2" t="s">
        <v>647</v>
      </c>
      <c r="D286" s="5">
        <v>13123.189542280832</v>
      </c>
      <c r="E286" s="5">
        <v>22238.862361063657</v>
      </c>
      <c r="F286" s="5">
        <v>7.4869476456633564</v>
      </c>
      <c r="G286" s="11">
        <v>0.58663768212572909</v>
      </c>
      <c r="H286" s="11">
        <v>5.3869522070464733</v>
      </c>
      <c r="I286" s="11">
        <v>0.28131754774405637</v>
      </c>
      <c r="J286" s="11">
        <v>4.3403508988152213</v>
      </c>
      <c r="K286" s="24">
        <v>68.360824105490977</v>
      </c>
    </row>
    <row r="287" spans="1:11">
      <c r="A287" s="17">
        <v>285</v>
      </c>
      <c r="B287" s="2">
        <v>285</v>
      </c>
      <c r="C287" s="2" t="s">
        <v>646</v>
      </c>
      <c r="D287" s="5">
        <v>12185.153305150541</v>
      </c>
      <c r="E287" s="5">
        <v>24471.460794301966</v>
      </c>
      <c r="F287" s="5">
        <v>9.554115674934117</v>
      </c>
      <c r="G287" s="11">
        <v>0.58082907985299248</v>
      </c>
      <c r="H287" s="11">
        <v>5.9864119334621897</v>
      </c>
      <c r="I287" s="11">
        <v>0.37385476534793272</v>
      </c>
      <c r="J287" s="11">
        <v>-2.2872849032452462</v>
      </c>
      <c r="K287" s="24">
        <v>63.070342969701599</v>
      </c>
    </row>
    <row r="288" spans="1:11">
      <c r="A288" s="17">
        <v>286</v>
      </c>
      <c r="B288" s="2">
        <v>286</v>
      </c>
      <c r="C288" s="2" t="s">
        <v>647</v>
      </c>
      <c r="D288" s="5">
        <v>12407.548179222593</v>
      </c>
      <c r="E288" s="5">
        <v>20862.980765741231</v>
      </c>
      <c r="F288" s="5">
        <v>6.9396872091438198</v>
      </c>
      <c r="G288" s="11">
        <v>0.46311525914352392</v>
      </c>
      <c r="H288" s="11">
        <v>5.5649432671213468</v>
      </c>
      <c r="I288" s="11">
        <v>0.32796850909746356</v>
      </c>
      <c r="J288" s="11">
        <v>9.0065049175430865</v>
      </c>
      <c r="K288" s="24">
        <v>51.52690409296811</v>
      </c>
    </row>
    <row r="289" spans="1:11">
      <c r="A289" s="17">
        <v>287</v>
      </c>
      <c r="B289" s="2">
        <v>287</v>
      </c>
      <c r="C289" s="2" t="s">
        <v>646</v>
      </c>
      <c r="D289" s="5">
        <v>13446.593921113325</v>
      </c>
      <c r="E289" s="5">
        <v>23958.993271662184</v>
      </c>
      <c r="F289" s="5">
        <v>5.8079047011751825</v>
      </c>
      <c r="G289" s="11">
        <v>0.57439673589105955</v>
      </c>
      <c r="H289" s="11">
        <v>5.7210080982724172</v>
      </c>
      <c r="I289" s="11">
        <v>0.11370580532413443</v>
      </c>
      <c r="J289" s="11">
        <v>7.8214337607645108</v>
      </c>
      <c r="K289" s="24">
        <v>57.897505279881628</v>
      </c>
    </row>
    <row r="290" spans="1:11">
      <c r="A290" s="17">
        <v>288</v>
      </c>
      <c r="B290" s="2">
        <v>288</v>
      </c>
      <c r="C290" s="2" t="s">
        <v>648</v>
      </c>
      <c r="D290" s="5">
        <v>12902.236672058441</v>
      </c>
      <c r="E290" s="5">
        <v>22287.064954980015</v>
      </c>
      <c r="F290" s="5">
        <v>5.4028067695135249</v>
      </c>
      <c r="G290" s="11">
        <v>0.53791351971885892</v>
      </c>
      <c r="H290" s="11">
        <v>6.0378566152166364</v>
      </c>
      <c r="I290" s="11">
        <v>0.19856671208983245</v>
      </c>
      <c r="J290" s="11">
        <v>10.765086081906109</v>
      </c>
      <c r="K290" s="24">
        <v>69.123875727961789</v>
      </c>
    </row>
    <row r="291" spans="1:11">
      <c r="A291" s="17">
        <v>289</v>
      </c>
      <c r="B291" s="2">
        <v>289</v>
      </c>
      <c r="C291" s="2" t="s">
        <v>648</v>
      </c>
      <c r="D291" s="5">
        <v>13097.478581809062</v>
      </c>
      <c r="E291" s="5">
        <v>23024.946646728058</v>
      </c>
      <c r="F291" s="5">
        <v>4.0549078634803735</v>
      </c>
      <c r="G291" s="11">
        <v>0.61454367086189454</v>
      </c>
      <c r="H291" s="11">
        <v>6.351951364073269</v>
      </c>
      <c r="I291" s="11">
        <v>0.33894357077953829</v>
      </c>
      <c r="J291" s="11">
        <v>4.9121438759178533</v>
      </c>
      <c r="K291" s="24">
        <v>59.654450603136141</v>
      </c>
    </row>
    <row r="292" spans="1:11">
      <c r="A292" s="17">
        <v>290</v>
      </c>
      <c r="B292" s="2">
        <v>290</v>
      </c>
      <c r="C292" s="2" t="s">
        <v>646</v>
      </c>
      <c r="D292" s="5">
        <v>13182.595803524398</v>
      </c>
      <c r="E292" s="5">
        <v>22478.736984339339</v>
      </c>
      <c r="F292" s="5">
        <v>3.5516277063898158</v>
      </c>
      <c r="G292" s="11">
        <v>0.53945311318675526</v>
      </c>
      <c r="H292" s="11">
        <v>6.103460311741113</v>
      </c>
      <c r="I292" s="11">
        <v>0.23052171502583407</v>
      </c>
      <c r="J292" s="11">
        <v>7.3539431098791725</v>
      </c>
      <c r="K292" s="24">
        <v>56.057731689058713</v>
      </c>
    </row>
    <row r="293" spans="1:11">
      <c r="A293" s="17">
        <v>291</v>
      </c>
      <c r="B293" s="2">
        <v>291</v>
      </c>
      <c r="C293" s="2" t="s">
        <v>647</v>
      </c>
      <c r="D293" s="5">
        <v>13930.000245860518</v>
      </c>
      <c r="E293" s="5">
        <v>20655.101881856826</v>
      </c>
      <c r="F293" s="5">
        <v>8.4204433787426822</v>
      </c>
      <c r="G293" s="11">
        <v>0.56001377367356331</v>
      </c>
      <c r="H293" s="11">
        <v>5.9744057398813162</v>
      </c>
      <c r="I293" s="11">
        <v>0.18837669107781041</v>
      </c>
      <c r="J293" s="11">
        <v>9.7717766726239894</v>
      </c>
      <c r="K293" s="24">
        <v>65.898533886840781</v>
      </c>
    </row>
    <row r="294" spans="1:11">
      <c r="A294" s="17">
        <v>292</v>
      </c>
      <c r="B294" s="2">
        <v>292</v>
      </c>
      <c r="C294" s="2" t="s">
        <v>646</v>
      </c>
      <c r="D294" s="5">
        <v>14134.228418012006</v>
      </c>
      <c r="E294" s="5">
        <v>20415.716509887279</v>
      </c>
      <c r="F294" s="5">
        <v>7.7405425840488604</v>
      </c>
      <c r="G294" s="11">
        <v>0.61792363269778439</v>
      </c>
      <c r="H294" s="11">
        <v>5.9310713904118835</v>
      </c>
      <c r="I294" s="11">
        <v>0.25866752975345664</v>
      </c>
      <c r="J294" s="11">
        <v>9.7956914149702676</v>
      </c>
      <c r="K294" s="24">
        <v>54.965900388380945</v>
      </c>
    </row>
    <row r="295" spans="1:11">
      <c r="A295" s="17">
        <v>293</v>
      </c>
      <c r="B295" s="2">
        <v>293</v>
      </c>
      <c r="C295" s="2" t="s">
        <v>646</v>
      </c>
      <c r="D295" s="5">
        <v>13654.750996689634</v>
      </c>
      <c r="E295" s="5">
        <v>23040.324042085122</v>
      </c>
      <c r="F295" s="5">
        <v>4.3988818558382334</v>
      </c>
      <c r="G295" s="11">
        <v>0.62605864310971815</v>
      </c>
      <c r="H295" s="11">
        <v>6.203641492856999</v>
      </c>
      <c r="I295" s="11">
        <v>0.25100116725026966</v>
      </c>
      <c r="J295" s="11">
        <v>7.1677544358957208</v>
      </c>
      <c r="K295" s="24">
        <v>62.071215614648466</v>
      </c>
    </row>
    <row r="296" spans="1:11">
      <c r="A296" s="17">
        <v>294</v>
      </c>
      <c r="B296" s="2">
        <v>294</v>
      </c>
      <c r="C296" s="2" t="s">
        <v>648</v>
      </c>
      <c r="D296" s="5">
        <v>12922.78522691611</v>
      </c>
      <c r="E296" s="5">
        <v>21551.980527874111</v>
      </c>
      <c r="F296" s="5">
        <v>6.3461472960461904</v>
      </c>
      <c r="G296" s="11">
        <v>0.54477143678814177</v>
      </c>
      <c r="H296" s="11">
        <v>5.7179680716296239</v>
      </c>
      <c r="I296" s="11">
        <v>0.39118944647227183</v>
      </c>
      <c r="J296" s="11">
        <v>7.617550942154911</v>
      </c>
      <c r="K296" s="24">
        <v>69.298543250449441</v>
      </c>
    </row>
    <row r="297" spans="1:11">
      <c r="A297" s="17">
        <v>295</v>
      </c>
      <c r="B297" s="2">
        <v>295</v>
      </c>
      <c r="C297" s="2" t="s">
        <v>648</v>
      </c>
      <c r="D297" s="5">
        <v>13053.912080291573</v>
      </c>
      <c r="E297" s="5">
        <v>22247.975611662259</v>
      </c>
      <c r="F297" s="5">
        <v>5.3484204539308919</v>
      </c>
      <c r="G297" s="11">
        <v>0.56031286548095527</v>
      </c>
      <c r="H297" s="11">
        <v>5.4934805834215545</v>
      </c>
      <c r="I297" s="11">
        <v>0.28473933608394875</v>
      </c>
      <c r="J297" s="11">
        <v>3.44979412298503</v>
      </c>
      <c r="K297" s="24">
        <v>72.281908224174188</v>
      </c>
    </row>
    <row r="298" spans="1:11">
      <c r="A298" s="17">
        <v>296</v>
      </c>
      <c r="B298" s="2">
        <v>296</v>
      </c>
      <c r="C298" s="2" t="s">
        <v>647</v>
      </c>
      <c r="D298" s="5">
        <v>13337.809373521102</v>
      </c>
      <c r="E298" s="5">
        <v>21727.430582358938</v>
      </c>
      <c r="F298" s="5">
        <v>5.0135103956172387</v>
      </c>
      <c r="G298" s="11">
        <v>0.68089798000874002</v>
      </c>
      <c r="H298" s="11">
        <v>6.4561788882940014</v>
      </c>
      <c r="I298" s="11">
        <v>0.3626728368176555</v>
      </c>
      <c r="J298" s="11">
        <v>9.6959072070970684</v>
      </c>
      <c r="K298" s="24">
        <v>65.39816619865833</v>
      </c>
    </row>
    <row r="299" spans="1:11">
      <c r="A299" s="17">
        <v>297</v>
      </c>
      <c r="B299" s="2">
        <v>297</v>
      </c>
      <c r="C299" s="2" t="s">
        <v>648</v>
      </c>
      <c r="D299" s="5">
        <v>13077.83486049282</v>
      </c>
      <c r="E299" s="5">
        <v>23548.246819700144</v>
      </c>
      <c r="F299" s="5">
        <v>4.081343208060396</v>
      </c>
      <c r="G299" s="11">
        <v>0.58731989570223964</v>
      </c>
      <c r="H299" s="11">
        <v>5.4446097778201725</v>
      </c>
      <c r="I299" s="11">
        <v>0.33236611206077216</v>
      </c>
      <c r="J299" s="11">
        <v>13.708541963119703</v>
      </c>
      <c r="K299" s="24">
        <v>63.107418479946503</v>
      </c>
    </row>
    <row r="300" spans="1:11">
      <c r="A300" s="17">
        <v>298</v>
      </c>
      <c r="B300" s="2">
        <v>298</v>
      </c>
      <c r="C300" s="2" t="s">
        <v>646</v>
      </c>
      <c r="D300" s="5">
        <v>15206.65432076037</v>
      </c>
      <c r="E300" s="5">
        <v>22037.399905456841</v>
      </c>
      <c r="F300" s="5">
        <v>12.314974259158596</v>
      </c>
      <c r="G300" s="11">
        <v>0.64296543400705564</v>
      </c>
      <c r="H300" s="11">
        <v>5.889108533129896</v>
      </c>
      <c r="I300" s="11">
        <v>0.24909540275372821</v>
      </c>
      <c r="J300" s="11">
        <v>2.0233055702422904</v>
      </c>
      <c r="K300" s="24">
        <v>54.927641617170778</v>
      </c>
    </row>
    <row r="301" spans="1:11">
      <c r="A301" s="17">
        <v>299</v>
      </c>
      <c r="B301" s="2">
        <v>299</v>
      </c>
      <c r="C301" s="2" t="s">
        <v>648</v>
      </c>
      <c r="D301" s="5">
        <v>14525.277261096724</v>
      </c>
      <c r="E301" s="5">
        <v>21941.815536592476</v>
      </c>
      <c r="F301" s="5">
        <v>5.4055424887628831</v>
      </c>
      <c r="G301" s="11">
        <v>0.54313409926980971</v>
      </c>
      <c r="H301" s="11">
        <v>6.2479581405192981</v>
      </c>
      <c r="I301" s="11">
        <v>0.2630289237033776</v>
      </c>
      <c r="J301" s="11">
        <v>3.6924265362816628</v>
      </c>
      <c r="K301" s="24">
        <v>61.676431212597166</v>
      </c>
    </row>
    <row r="302" spans="1:11">
      <c r="A302" s="17">
        <v>300</v>
      </c>
      <c r="B302" s="2">
        <v>300</v>
      </c>
      <c r="C302" s="2" t="s">
        <v>647</v>
      </c>
      <c r="D302" s="5">
        <v>12616.102362923064</v>
      </c>
      <c r="E302" s="5">
        <v>23071.510842782591</v>
      </c>
      <c r="F302" s="5">
        <v>3.3154014672227348</v>
      </c>
      <c r="G302" s="11">
        <v>0.52773704252904285</v>
      </c>
      <c r="H302" s="11">
        <v>5.9639803405479448</v>
      </c>
      <c r="I302" s="11">
        <v>0.19273289141166972</v>
      </c>
      <c r="J302" s="11">
        <v>13.679439751563539</v>
      </c>
      <c r="K302" s="24">
        <v>48.937261620428401</v>
      </c>
    </row>
    <row r="303" spans="1:11">
      <c r="A303" s="17">
        <v>301</v>
      </c>
      <c r="B303" s="2">
        <v>301</v>
      </c>
      <c r="C303" s="2" t="s">
        <v>646</v>
      </c>
      <c r="D303" s="5">
        <v>14142.700588532696</v>
      </c>
      <c r="E303" s="5">
        <v>22558.626430508884</v>
      </c>
      <c r="F303" s="5">
        <v>7.3704260693894028</v>
      </c>
      <c r="G303" s="11">
        <v>0.57717022332217316</v>
      </c>
      <c r="H303" s="11">
        <v>5.7565708220692464</v>
      </c>
      <c r="I303" s="11">
        <v>0.3422041375729532</v>
      </c>
      <c r="J303" s="11">
        <v>4.9200669530140191</v>
      </c>
      <c r="K303" s="24">
        <v>58.484190338478768</v>
      </c>
    </row>
    <row r="304" spans="1:11">
      <c r="A304" s="17">
        <v>302</v>
      </c>
      <c r="B304" s="2">
        <v>302</v>
      </c>
      <c r="C304" s="2" t="s">
        <v>648</v>
      </c>
      <c r="D304" s="5">
        <v>13445.065174206482</v>
      </c>
      <c r="E304" s="5">
        <v>23196.692215605726</v>
      </c>
      <c r="F304" s="5">
        <v>6.9854027317042053</v>
      </c>
      <c r="G304" s="11">
        <v>0.57547827879607216</v>
      </c>
      <c r="H304" s="11">
        <v>6.0847868427014724</v>
      </c>
      <c r="I304" s="11">
        <v>0.27649597015126348</v>
      </c>
      <c r="J304" s="11">
        <v>5.9051295230964103</v>
      </c>
      <c r="K304" s="24">
        <v>72.456333026463838</v>
      </c>
    </row>
    <row r="305" spans="1:11">
      <c r="A305" s="17">
        <v>303</v>
      </c>
      <c r="B305" s="2">
        <v>303</v>
      </c>
      <c r="C305" s="2" t="s">
        <v>648</v>
      </c>
      <c r="D305" s="5">
        <v>12836.197352268007</v>
      </c>
      <c r="E305" s="5">
        <v>20858.539703112474</v>
      </c>
      <c r="F305" s="5">
        <v>6.5869149918462497</v>
      </c>
      <c r="G305" s="11">
        <v>0.6188659776023997</v>
      </c>
      <c r="H305" s="11">
        <v>5.36617395335605</v>
      </c>
      <c r="I305" s="11">
        <v>0.34246337947890426</v>
      </c>
      <c r="J305" s="11">
        <v>10.525443920846872</v>
      </c>
      <c r="K305" s="24">
        <v>52.523846966239219</v>
      </c>
    </row>
    <row r="306" spans="1:11">
      <c r="A306" s="17">
        <v>304</v>
      </c>
      <c r="B306" s="2">
        <v>304</v>
      </c>
      <c r="C306" s="2" t="s">
        <v>648</v>
      </c>
      <c r="D306" s="5">
        <v>12380.920448091436</v>
      </c>
      <c r="E306" s="5">
        <v>23422.009182467737</v>
      </c>
      <c r="F306" s="5">
        <v>6.7318593083491649</v>
      </c>
      <c r="G306" s="11">
        <v>0.64032516024672081</v>
      </c>
      <c r="H306" s="11">
        <v>5.7068804543029579</v>
      </c>
      <c r="I306" s="11">
        <v>0.36013484100250936</v>
      </c>
      <c r="J306" s="11">
        <v>3.224659414386541</v>
      </c>
      <c r="K306" s="24">
        <v>59.334545382168656</v>
      </c>
    </row>
    <row r="307" spans="1:11">
      <c r="A307" s="17">
        <v>305</v>
      </c>
      <c r="B307" s="2">
        <v>305</v>
      </c>
      <c r="C307" s="2" t="s">
        <v>647</v>
      </c>
      <c r="D307" s="5">
        <v>13709.881382279653</v>
      </c>
      <c r="E307" s="5">
        <v>21674.511519449443</v>
      </c>
      <c r="F307" s="5">
        <v>8.1945364135726848</v>
      </c>
      <c r="G307" s="11">
        <v>0.53216245428193365</v>
      </c>
      <c r="H307" s="11">
        <v>5.5820560388326008</v>
      </c>
      <c r="I307" s="11">
        <v>0.37694226037230694</v>
      </c>
      <c r="J307" s="11">
        <v>2.9886259275602685</v>
      </c>
      <c r="K307" s="24">
        <v>46.239821039950769</v>
      </c>
    </row>
    <row r="308" spans="1:11">
      <c r="A308" s="17">
        <v>306</v>
      </c>
      <c r="B308" s="2">
        <v>306</v>
      </c>
      <c r="C308" s="2" t="s">
        <v>648</v>
      </c>
      <c r="D308" s="5">
        <v>12861.57486924474</v>
      </c>
      <c r="E308" s="5">
        <v>24133.870912919083</v>
      </c>
      <c r="F308" s="5">
        <v>7.5111109062681933</v>
      </c>
      <c r="G308" s="11">
        <v>0.64354130105930385</v>
      </c>
      <c r="H308" s="11">
        <v>5.9139752844384326</v>
      </c>
      <c r="I308" s="11">
        <v>0.36199737413155164</v>
      </c>
      <c r="J308" s="11">
        <v>8.1036560951068601</v>
      </c>
      <c r="K308" s="24">
        <v>73.483464224361526</v>
      </c>
    </row>
    <row r="309" spans="1:11">
      <c r="A309" s="17">
        <v>307</v>
      </c>
      <c r="B309" s="2">
        <v>307</v>
      </c>
      <c r="C309" s="2" t="s">
        <v>648</v>
      </c>
      <c r="D309" s="5">
        <v>12862.911030648482</v>
      </c>
      <c r="E309" s="5">
        <v>21042.299469626887</v>
      </c>
      <c r="F309" s="5">
        <v>7.2091081071512306</v>
      </c>
      <c r="G309" s="11">
        <v>0.6171760278528382</v>
      </c>
      <c r="H309" s="11">
        <v>6.4293617554937406</v>
      </c>
      <c r="I309" s="11">
        <v>0.26489284667333779</v>
      </c>
      <c r="J309" s="11">
        <v>10.093436141401387</v>
      </c>
      <c r="K309" s="24">
        <v>57.123045808104692</v>
      </c>
    </row>
    <row r="310" spans="1:11">
      <c r="A310" s="17">
        <v>308</v>
      </c>
      <c r="B310" s="2">
        <v>308</v>
      </c>
      <c r="C310" s="2" t="s">
        <v>647</v>
      </c>
      <c r="D310" s="5">
        <v>13495.032358374536</v>
      </c>
      <c r="E310" s="5">
        <v>22335.810801450425</v>
      </c>
      <c r="F310" s="5">
        <v>8.0800266348042058</v>
      </c>
      <c r="G310" s="11">
        <v>0.53190088920819112</v>
      </c>
      <c r="H310" s="11">
        <v>6.5092808306223411</v>
      </c>
      <c r="I310" s="11">
        <v>0.37622422466440186</v>
      </c>
      <c r="J310" s="11">
        <v>6.5597692209465537</v>
      </c>
      <c r="K310" s="24">
        <v>64.345534209957989</v>
      </c>
    </row>
    <row r="311" spans="1:11">
      <c r="A311" s="17">
        <v>309</v>
      </c>
      <c r="B311" s="2">
        <v>309</v>
      </c>
      <c r="C311" s="2" t="s">
        <v>648</v>
      </c>
      <c r="D311" s="5">
        <v>12727.05230371337</v>
      </c>
      <c r="E311" s="5">
        <v>21762.000021225977</v>
      </c>
      <c r="F311" s="5">
        <v>4.4648319401012557</v>
      </c>
      <c r="G311" s="11">
        <v>0.5442286082223291</v>
      </c>
      <c r="H311" s="11">
        <v>6.4583199454329439</v>
      </c>
      <c r="I311" s="11">
        <v>0.20642618933108681</v>
      </c>
      <c r="J311" s="11">
        <v>8.0938741142475443</v>
      </c>
      <c r="K311" s="24">
        <v>55.756182183065178</v>
      </c>
    </row>
    <row r="312" spans="1:11">
      <c r="A312" s="17">
        <v>310</v>
      </c>
      <c r="B312" s="2">
        <v>310</v>
      </c>
      <c r="C312" s="2" t="s">
        <v>648</v>
      </c>
      <c r="D312" s="5">
        <v>12025.208657402052</v>
      </c>
      <c r="E312" s="5">
        <v>22429.539687436336</v>
      </c>
      <c r="F312" s="5">
        <v>10.658597928074421</v>
      </c>
      <c r="G312" s="11">
        <v>0.62534582218067958</v>
      </c>
      <c r="H312" s="11">
        <v>5.8984893828380187</v>
      </c>
      <c r="I312" s="11">
        <v>0.15231061185615546</v>
      </c>
      <c r="J312" s="11">
        <v>7.2767240292913344</v>
      </c>
      <c r="K312" s="24">
        <v>59.903253976101226</v>
      </c>
    </row>
    <row r="313" spans="1:11">
      <c r="A313" s="17">
        <v>311</v>
      </c>
      <c r="B313" s="2">
        <v>311</v>
      </c>
      <c r="C313" s="2" t="s">
        <v>646</v>
      </c>
      <c r="D313" s="5">
        <v>12245.437342468156</v>
      </c>
      <c r="E313" s="5">
        <v>21191.437956076261</v>
      </c>
      <c r="F313" s="5">
        <v>4.1056935495653377</v>
      </c>
      <c r="G313" s="11">
        <v>0.56491780712240147</v>
      </c>
      <c r="H313" s="11">
        <v>5.9653003650157039</v>
      </c>
      <c r="I313" s="11">
        <v>0.38913482269847011</v>
      </c>
      <c r="J313" s="11">
        <v>3.5008757798189878</v>
      </c>
      <c r="K313" s="24">
        <v>64.775740590905301</v>
      </c>
    </row>
    <row r="314" spans="1:11">
      <c r="A314" s="17">
        <v>312</v>
      </c>
      <c r="B314" s="2">
        <v>312</v>
      </c>
      <c r="C314" s="2" t="s">
        <v>648</v>
      </c>
      <c r="D314" s="5">
        <v>13688.069880341734</v>
      </c>
      <c r="E314" s="5">
        <v>23964.263793458958</v>
      </c>
      <c r="F314" s="5">
        <v>7.7995191599775424</v>
      </c>
      <c r="G314" s="11">
        <v>0.66097714409697805</v>
      </c>
      <c r="H314" s="11">
        <v>6.7961717035279285</v>
      </c>
      <c r="I314" s="11">
        <v>0.32785044576896327</v>
      </c>
      <c r="J314" s="11">
        <v>10.832414048341295</v>
      </c>
      <c r="K314" s="24">
        <v>63.375965624017866</v>
      </c>
    </row>
    <row r="315" spans="1:11">
      <c r="A315" s="17">
        <v>313</v>
      </c>
      <c r="B315" s="2">
        <v>313</v>
      </c>
      <c r="C315" s="2" t="s">
        <v>648</v>
      </c>
      <c r="D315" s="5">
        <v>13336.123056657178</v>
      </c>
      <c r="E315" s="5">
        <v>22894.531472956733</v>
      </c>
      <c r="F315" s="5">
        <v>7.6977959540336158</v>
      </c>
      <c r="G315" s="11">
        <v>0.70824836114188661</v>
      </c>
      <c r="H315" s="11">
        <v>5.8256287378377998</v>
      </c>
      <c r="I315" s="11">
        <v>0.35801730863979175</v>
      </c>
      <c r="J315" s="11">
        <v>5.0826610089783104</v>
      </c>
      <c r="K315" s="24">
        <v>58.412451349956612</v>
      </c>
    </row>
    <row r="316" spans="1:11">
      <c r="A316" s="17">
        <v>314</v>
      </c>
      <c r="B316" s="2">
        <v>314</v>
      </c>
      <c r="C316" s="2" t="s">
        <v>647</v>
      </c>
      <c r="D316" s="5">
        <v>13440.600692089154</v>
      </c>
      <c r="E316" s="5">
        <v>21507.12277125378</v>
      </c>
      <c r="F316" s="5">
        <v>4.6704609624903313</v>
      </c>
      <c r="G316" s="11">
        <v>0.62592343466239986</v>
      </c>
      <c r="H316" s="11">
        <v>6.1406430432861576</v>
      </c>
      <c r="I316" s="11">
        <v>0.25585127315664069</v>
      </c>
      <c r="J316" s="11">
        <v>1.2944406818181493</v>
      </c>
      <c r="K316" s="24">
        <v>71.769920306512361</v>
      </c>
    </row>
    <row r="317" spans="1:11">
      <c r="A317" s="17">
        <v>315</v>
      </c>
      <c r="B317" s="2">
        <v>315</v>
      </c>
      <c r="C317" s="2" t="s">
        <v>648</v>
      </c>
      <c r="D317" s="5">
        <v>13169.404492369884</v>
      </c>
      <c r="E317" s="5">
        <v>22094.229738740542</v>
      </c>
      <c r="F317" s="5">
        <v>4.7328022833035064</v>
      </c>
      <c r="G317" s="11">
        <v>0.64834297753695869</v>
      </c>
      <c r="H317" s="11">
        <v>7.0199121745474109</v>
      </c>
      <c r="I317" s="11">
        <v>0.34332361785756804</v>
      </c>
      <c r="J317" s="11">
        <v>11.501648505286855</v>
      </c>
      <c r="K317" s="24">
        <v>71.355839648719851</v>
      </c>
    </row>
    <row r="318" spans="1:11">
      <c r="A318" s="17">
        <v>316</v>
      </c>
      <c r="B318" s="2">
        <v>316</v>
      </c>
      <c r="C318" s="2" t="s">
        <v>646</v>
      </c>
      <c r="D318" s="5">
        <v>13559.740291608412</v>
      </c>
      <c r="E318" s="5">
        <v>21787.85149862917</v>
      </c>
      <c r="F318" s="5">
        <v>4.489938739158795</v>
      </c>
      <c r="G318" s="11">
        <v>0.71701839619781826</v>
      </c>
      <c r="H318" s="11">
        <v>5.5104757146306689</v>
      </c>
      <c r="I318" s="11">
        <v>0.19049992910324365</v>
      </c>
      <c r="J318" s="11">
        <v>6.5791767582780709</v>
      </c>
      <c r="K318" s="24">
        <v>56.479503543125432</v>
      </c>
    </row>
    <row r="319" spans="1:11">
      <c r="A319" s="17">
        <v>317</v>
      </c>
      <c r="B319" s="2">
        <v>317</v>
      </c>
      <c r="C319" s="2" t="s">
        <v>647</v>
      </c>
      <c r="D319" s="5">
        <v>13835.595150563839</v>
      </c>
      <c r="E319" s="5">
        <v>23187.367280115286</v>
      </c>
      <c r="F319" s="5">
        <v>3.3140458085263234</v>
      </c>
      <c r="G319" s="11">
        <v>0.54564115935936575</v>
      </c>
      <c r="H319" s="11">
        <v>5.7472585959873719</v>
      </c>
      <c r="I319" s="11">
        <v>0.28815205388311371</v>
      </c>
      <c r="J319" s="11">
        <v>11.659979087258169</v>
      </c>
      <c r="K319" s="24">
        <v>50.465943767473803</v>
      </c>
    </row>
    <row r="320" spans="1:11">
      <c r="A320" s="17">
        <v>318</v>
      </c>
      <c r="B320" s="2">
        <v>318</v>
      </c>
      <c r="C320" s="2" t="s">
        <v>646</v>
      </c>
      <c r="D320" s="5">
        <v>13248.647060432793</v>
      </c>
      <c r="E320" s="5">
        <v>20612.27673220812</v>
      </c>
      <c r="F320" s="5">
        <v>8.2868350802591593</v>
      </c>
      <c r="G320" s="11">
        <v>0.56910266129198139</v>
      </c>
      <c r="H320" s="11">
        <v>5.4098411274127862</v>
      </c>
      <c r="I320" s="11">
        <v>0.32689087033942998</v>
      </c>
      <c r="J320" s="11">
        <v>8.8693680211375501</v>
      </c>
      <c r="K320" s="24">
        <v>52.156550626611718</v>
      </c>
    </row>
    <row r="321" spans="1:11">
      <c r="A321" s="17">
        <v>319</v>
      </c>
      <c r="B321" s="2">
        <v>319</v>
      </c>
      <c r="C321" s="2" t="s">
        <v>647</v>
      </c>
      <c r="D321" s="5">
        <v>13269.685037126854</v>
      </c>
      <c r="E321" s="5">
        <v>21393.236299445125</v>
      </c>
      <c r="F321" s="5">
        <v>5.0721263663326752</v>
      </c>
      <c r="G321" s="11">
        <v>0.55101708213333045</v>
      </c>
      <c r="H321" s="11">
        <v>5.6276466350993211</v>
      </c>
      <c r="I321" s="11">
        <v>0.28151249122017363</v>
      </c>
      <c r="J321" s="11">
        <v>9.9310458009179889</v>
      </c>
      <c r="K321" s="24">
        <v>52.396555392399208</v>
      </c>
    </row>
    <row r="322" spans="1:11">
      <c r="A322" s="17">
        <v>320</v>
      </c>
      <c r="B322" s="2">
        <v>320</v>
      </c>
      <c r="C322" s="2" t="s">
        <v>647</v>
      </c>
      <c r="D322" s="5">
        <v>13214.94857642954</v>
      </c>
      <c r="E322" s="5">
        <v>20838.783886574238</v>
      </c>
      <c r="F322" s="5">
        <v>4.9130560862131532</v>
      </c>
      <c r="G322" s="11">
        <v>0.72596895853057508</v>
      </c>
      <c r="H322" s="11">
        <v>6.5345549121695363</v>
      </c>
      <c r="I322" s="11">
        <v>0.22585221528926924</v>
      </c>
      <c r="J322" s="11">
        <v>4.0573537180901882</v>
      </c>
      <c r="K322" s="24">
        <v>66.608475295986139</v>
      </c>
    </row>
    <row r="323" spans="1:11">
      <c r="A323" s="17">
        <v>321</v>
      </c>
      <c r="B323" s="2">
        <v>321</v>
      </c>
      <c r="C323" s="2" t="s">
        <v>647</v>
      </c>
      <c r="D323" s="5">
        <v>13979.101591072484</v>
      </c>
      <c r="E323" s="5">
        <v>20822.697994844493</v>
      </c>
      <c r="F323" s="5">
        <v>4.3548093916178985</v>
      </c>
      <c r="G323" s="11">
        <v>0.62166402571965595</v>
      </c>
      <c r="H323" s="11">
        <v>6.0184297567945428</v>
      </c>
      <c r="I323" s="11">
        <v>0.31355176240551375</v>
      </c>
      <c r="J323" s="11">
        <v>4.0062502345975632</v>
      </c>
      <c r="K323" s="24">
        <v>68.006240236233864</v>
      </c>
    </row>
    <row r="324" spans="1:11">
      <c r="A324" s="17">
        <v>322</v>
      </c>
      <c r="B324" s="2">
        <v>322</v>
      </c>
      <c r="C324" s="2" t="s">
        <v>646</v>
      </c>
      <c r="D324" s="5">
        <v>13433.498106902496</v>
      </c>
      <c r="E324" s="5">
        <v>22299.10507321576</v>
      </c>
      <c r="F324" s="5">
        <v>4.3400381344617998</v>
      </c>
      <c r="G324" s="11">
        <v>0.60255412880796944</v>
      </c>
      <c r="H324" s="11">
        <v>5.9839375615671848</v>
      </c>
      <c r="I324" s="11">
        <v>0.39700161489192398</v>
      </c>
      <c r="J324" s="11">
        <v>6.3161873479979009</v>
      </c>
      <c r="K324" s="24">
        <v>65.665659026869619</v>
      </c>
    </row>
    <row r="325" spans="1:11">
      <c r="A325" s="17">
        <v>323</v>
      </c>
      <c r="B325" s="2">
        <v>323</v>
      </c>
      <c r="C325" s="2" t="s">
        <v>646</v>
      </c>
      <c r="D325" s="5">
        <v>12938.120444456379</v>
      </c>
      <c r="E325" s="5">
        <v>22218.83761831079</v>
      </c>
      <c r="F325" s="5">
        <v>8.9160017038984805</v>
      </c>
      <c r="G325" s="11">
        <v>0.59296866650474844</v>
      </c>
      <c r="H325" s="11">
        <v>5.8763651257356138</v>
      </c>
      <c r="I325" s="11">
        <v>0.28578727613605226</v>
      </c>
      <c r="J325" s="11">
        <v>3.2037130976189916</v>
      </c>
      <c r="K325" s="24">
        <v>65.023262097824684</v>
      </c>
    </row>
    <row r="326" spans="1:11">
      <c r="A326" s="17">
        <v>324</v>
      </c>
      <c r="B326" s="2">
        <v>324</v>
      </c>
      <c r="C326" s="2" t="s">
        <v>646</v>
      </c>
      <c r="D326" s="5">
        <v>11864.776975240764</v>
      </c>
      <c r="E326" s="5">
        <v>22377.590486939444</v>
      </c>
      <c r="F326" s="5">
        <v>4.9879182707463841</v>
      </c>
      <c r="G326" s="11">
        <v>0.63110187455895361</v>
      </c>
      <c r="H326" s="11">
        <v>5.9693913134776118</v>
      </c>
      <c r="I326" s="11">
        <v>0.32676724764725806</v>
      </c>
      <c r="J326" s="11">
        <v>9.9972606077611523</v>
      </c>
      <c r="K326" s="24">
        <v>63.197968283813864</v>
      </c>
    </row>
    <row r="327" spans="1:11">
      <c r="A327" s="17">
        <v>325</v>
      </c>
      <c r="B327" s="2">
        <v>325</v>
      </c>
      <c r="C327" s="2" t="s">
        <v>646</v>
      </c>
      <c r="D327" s="5">
        <v>12916.120336054681</v>
      </c>
      <c r="E327" s="5">
        <v>22363.281236266193</v>
      </c>
      <c r="F327" s="5">
        <v>3.2681703182397612</v>
      </c>
      <c r="G327" s="11">
        <v>0.57568635892384923</v>
      </c>
      <c r="H327" s="11">
        <v>6.2677001774533743</v>
      </c>
      <c r="I327" s="11">
        <v>0.2759173574322813</v>
      </c>
      <c r="J327" s="11">
        <v>7.374532924555159</v>
      </c>
      <c r="K327" s="24">
        <v>59.256647368622183</v>
      </c>
    </row>
    <row r="328" spans="1:11">
      <c r="A328" s="17">
        <v>326</v>
      </c>
      <c r="B328" s="2">
        <v>326</v>
      </c>
      <c r="C328" s="2" t="s">
        <v>647</v>
      </c>
      <c r="D328" s="5">
        <v>12534.372895284994</v>
      </c>
      <c r="E328" s="5">
        <v>21654.239450981113</v>
      </c>
      <c r="F328" s="5">
        <v>2.4800283105896668</v>
      </c>
      <c r="G328" s="11">
        <v>0.52940455104253492</v>
      </c>
      <c r="H328" s="11">
        <v>5.7497672796955008</v>
      </c>
      <c r="I328" s="11">
        <v>0.37719799110120222</v>
      </c>
      <c r="J328" s="11">
        <v>7.8811223966662043</v>
      </c>
      <c r="K328" s="24">
        <v>60.128505904853867</v>
      </c>
    </row>
    <row r="329" spans="1:11">
      <c r="A329" s="17">
        <v>327</v>
      </c>
      <c r="B329" s="2">
        <v>327</v>
      </c>
      <c r="C329" s="2" t="s">
        <v>646</v>
      </c>
      <c r="D329" s="5">
        <v>13220.036176104421</v>
      </c>
      <c r="E329" s="5">
        <v>23224.883027068718</v>
      </c>
      <c r="F329" s="5">
        <v>4.9151112647969128</v>
      </c>
      <c r="G329" s="11">
        <v>0.51449671324808155</v>
      </c>
      <c r="H329" s="11">
        <v>6.1014319934167212</v>
      </c>
      <c r="I329" s="11">
        <v>0.24341380623083753</v>
      </c>
      <c r="J329" s="11">
        <v>8.9096236552726147</v>
      </c>
      <c r="K329" s="24">
        <v>58.991172152056791</v>
      </c>
    </row>
    <row r="330" spans="1:11">
      <c r="A330" s="17">
        <v>328</v>
      </c>
      <c r="B330" s="2">
        <v>328</v>
      </c>
      <c r="C330" s="2" t="s">
        <v>647</v>
      </c>
      <c r="D330" s="5">
        <v>12638.589505737562</v>
      </c>
      <c r="E330" s="5">
        <v>21962.653538138984</v>
      </c>
      <c r="F330" s="5">
        <v>7.0255356517527687</v>
      </c>
      <c r="G330" s="11">
        <v>0.64534395568334735</v>
      </c>
      <c r="H330" s="11">
        <v>5.993703683919815</v>
      </c>
      <c r="I330" s="11">
        <v>0.27738707762820924</v>
      </c>
      <c r="J330" s="11">
        <v>11.024430440188869</v>
      </c>
      <c r="K330" s="24">
        <v>58.685284022523959</v>
      </c>
    </row>
    <row r="331" spans="1:11">
      <c r="A331" s="17">
        <v>329</v>
      </c>
      <c r="B331" s="2">
        <v>329</v>
      </c>
      <c r="C331" s="2" t="s">
        <v>647</v>
      </c>
      <c r="D331" s="5">
        <v>13925.760181560852</v>
      </c>
      <c r="E331" s="5">
        <v>22969.96041604827</v>
      </c>
      <c r="F331" s="5">
        <v>10.278579682296375</v>
      </c>
      <c r="G331" s="11">
        <v>0.55968176805326952</v>
      </c>
      <c r="H331" s="11">
        <v>6.0697161140398599</v>
      </c>
      <c r="I331" s="11">
        <v>0.27135619213779139</v>
      </c>
      <c r="J331" s="11">
        <v>4.29961507818948</v>
      </c>
      <c r="K331" s="24">
        <v>59.883616395081575</v>
      </c>
    </row>
    <row r="332" spans="1:11">
      <c r="A332" s="17">
        <v>330</v>
      </c>
      <c r="B332" s="2">
        <v>330</v>
      </c>
      <c r="C332" s="2" t="s">
        <v>648</v>
      </c>
      <c r="D332" s="5">
        <v>13237.176285880358</v>
      </c>
      <c r="E332" s="5">
        <v>22400.467575607327</v>
      </c>
      <c r="F332" s="5">
        <v>2.6209083623207405</v>
      </c>
      <c r="G332" s="11">
        <v>0.65393520889192591</v>
      </c>
      <c r="H332" s="11">
        <v>6.1085610078463866</v>
      </c>
      <c r="I332" s="11">
        <v>0.23946446353831563</v>
      </c>
      <c r="J332" s="11">
        <v>6.4544264906661271</v>
      </c>
      <c r="K332" s="24">
        <v>62.241385228466882</v>
      </c>
    </row>
    <row r="333" spans="1:11">
      <c r="A333" s="17">
        <v>331</v>
      </c>
      <c r="B333" s="2">
        <v>331</v>
      </c>
      <c r="C333" s="2" t="s">
        <v>647</v>
      </c>
      <c r="D333" s="5">
        <v>13744.82212235869</v>
      </c>
      <c r="E333" s="5">
        <v>21652.907780207461</v>
      </c>
      <c r="F333" s="5">
        <v>2.4511473577213181</v>
      </c>
      <c r="G333" s="11">
        <v>0.4692751290975139</v>
      </c>
      <c r="H333" s="11">
        <v>6.0580427450462899</v>
      </c>
      <c r="I333" s="11">
        <v>0.40421240217212473</v>
      </c>
      <c r="J333" s="11">
        <v>1.5151373031543232</v>
      </c>
      <c r="K333" s="24">
        <v>59.45307627386201</v>
      </c>
    </row>
    <row r="334" spans="1:11">
      <c r="A334" s="17">
        <v>332</v>
      </c>
      <c r="B334" s="2">
        <v>332</v>
      </c>
      <c r="C334" s="2" t="s">
        <v>647</v>
      </c>
      <c r="D334" s="5">
        <v>13393.597892214691</v>
      </c>
      <c r="E334" s="5">
        <v>22666.855731585674</v>
      </c>
      <c r="F334" s="5">
        <v>6.6928841208273369</v>
      </c>
      <c r="G334" s="11">
        <v>0.48042642864747909</v>
      </c>
      <c r="H334" s="11">
        <v>6.1574837713362136</v>
      </c>
      <c r="I334" s="11">
        <v>0.29762433178531866</v>
      </c>
      <c r="J334" s="11">
        <v>6.0437833722793117</v>
      </c>
      <c r="K334" s="24">
        <v>65.266444981204771</v>
      </c>
    </row>
    <row r="335" spans="1:11">
      <c r="A335" s="17">
        <v>333</v>
      </c>
      <c r="B335" s="2">
        <v>333</v>
      </c>
      <c r="C335" s="2" t="s">
        <v>646</v>
      </c>
      <c r="D335" s="5">
        <v>13292.983903962684</v>
      </c>
      <c r="E335" s="5">
        <v>23288.220010726509</v>
      </c>
      <c r="F335" s="5">
        <v>4.943281852508342</v>
      </c>
      <c r="G335" s="11">
        <v>0.6681553474743851</v>
      </c>
      <c r="H335" s="11">
        <v>6.1529266723845772</v>
      </c>
      <c r="I335" s="11">
        <v>0.22258696692644664</v>
      </c>
      <c r="J335" s="11">
        <v>4.0080618472669345</v>
      </c>
      <c r="K335" s="24">
        <v>72.175384397275778</v>
      </c>
    </row>
    <row r="336" spans="1:11">
      <c r="A336" s="17">
        <v>334</v>
      </c>
      <c r="B336" s="2">
        <v>334</v>
      </c>
      <c r="C336" s="2" t="s">
        <v>648</v>
      </c>
      <c r="D336" s="5">
        <v>12560.618638641407</v>
      </c>
      <c r="E336" s="5">
        <v>21756.037203430897</v>
      </c>
      <c r="F336" s="5">
        <v>7.0039427200363278</v>
      </c>
      <c r="G336" s="11">
        <v>0.68533211890899115</v>
      </c>
      <c r="H336" s="11">
        <v>5.2541125520303318</v>
      </c>
      <c r="I336" s="11">
        <v>0.22417409210517691</v>
      </c>
      <c r="J336" s="11">
        <v>12.805791360647479</v>
      </c>
      <c r="K336" s="24">
        <v>52.437028985416148</v>
      </c>
    </row>
    <row r="337" spans="1:11">
      <c r="A337" s="17">
        <v>335</v>
      </c>
      <c r="B337" s="2">
        <v>335</v>
      </c>
      <c r="C337" s="2" t="s">
        <v>648</v>
      </c>
      <c r="D337" s="5">
        <v>12707.097421522283</v>
      </c>
      <c r="E337" s="5">
        <v>21898.033484830667</v>
      </c>
      <c r="F337" s="5">
        <v>7.9693940399074634</v>
      </c>
      <c r="G337" s="11">
        <v>0.6816799324122258</v>
      </c>
      <c r="H337" s="11">
        <v>6.3096870530045486</v>
      </c>
      <c r="I337" s="11">
        <v>0.372396749075524</v>
      </c>
      <c r="J337" s="11">
        <v>8.1855715450845743</v>
      </c>
      <c r="K337" s="24">
        <v>63.127860071622038</v>
      </c>
    </row>
    <row r="338" spans="1:11">
      <c r="A338" s="17">
        <v>336</v>
      </c>
      <c r="B338" s="2">
        <v>336</v>
      </c>
      <c r="C338" s="2" t="s">
        <v>646</v>
      </c>
      <c r="D338" s="5">
        <v>13595.378955184222</v>
      </c>
      <c r="E338" s="5">
        <v>21165.165268939309</v>
      </c>
      <c r="F338" s="5">
        <v>3.2242849349195311</v>
      </c>
      <c r="G338" s="11">
        <v>0.5835164802090731</v>
      </c>
      <c r="H338" s="11">
        <v>5.7310271477046477</v>
      </c>
      <c r="I338" s="11">
        <v>0.29394366728708521</v>
      </c>
      <c r="J338" s="11">
        <v>7.6657878578092538</v>
      </c>
      <c r="K338" s="24">
        <v>63.883410122973331</v>
      </c>
    </row>
    <row r="339" spans="1:11">
      <c r="A339" s="17">
        <v>337</v>
      </c>
      <c r="B339" s="2">
        <v>337</v>
      </c>
      <c r="C339" s="2" t="s">
        <v>648</v>
      </c>
      <c r="D339" s="5">
        <v>12923.776803514718</v>
      </c>
      <c r="E339" s="5">
        <v>22008.038346938993</v>
      </c>
      <c r="F339" s="5">
        <v>10.071933915884991</v>
      </c>
      <c r="G339" s="11">
        <v>0.63452883831705553</v>
      </c>
      <c r="H339" s="11">
        <v>6.7340241869225643</v>
      </c>
      <c r="I339" s="11">
        <v>0.28122757383200225</v>
      </c>
      <c r="J339" s="11">
        <v>9.913540820666956</v>
      </c>
      <c r="K339" s="24">
        <v>62.453727476688258</v>
      </c>
    </row>
    <row r="340" spans="1:11">
      <c r="A340" s="17">
        <v>338</v>
      </c>
      <c r="B340" s="2">
        <v>338</v>
      </c>
      <c r="C340" s="2" t="s">
        <v>648</v>
      </c>
      <c r="D340" s="5">
        <v>13773.877067475203</v>
      </c>
      <c r="E340" s="5">
        <v>22721.42291258162</v>
      </c>
      <c r="F340" s="5">
        <v>6.2342349593400357</v>
      </c>
      <c r="G340" s="11">
        <v>0.63577588533808016</v>
      </c>
      <c r="H340" s="11">
        <v>6.8393889026639805</v>
      </c>
      <c r="I340" s="11">
        <v>0.31646245503522552</v>
      </c>
      <c r="J340" s="11">
        <v>3.8654028062186159</v>
      </c>
      <c r="K340" s="24">
        <v>60.200965468963844</v>
      </c>
    </row>
    <row r="341" spans="1:11">
      <c r="A341" s="17">
        <v>339</v>
      </c>
      <c r="B341" s="2">
        <v>339</v>
      </c>
      <c r="C341" s="2" t="s">
        <v>648</v>
      </c>
      <c r="D341" s="5">
        <v>13070.627228668107</v>
      </c>
      <c r="E341" s="5">
        <v>22143.112748380663</v>
      </c>
      <c r="F341" s="5">
        <v>1.0060260326163259</v>
      </c>
      <c r="G341" s="11">
        <v>0.549894646309258</v>
      </c>
      <c r="H341" s="11">
        <v>5.9056585911059152</v>
      </c>
      <c r="I341" s="11">
        <v>0.29110188150709293</v>
      </c>
      <c r="J341" s="11">
        <v>0.23220996001814331</v>
      </c>
      <c r="K341" s="24">
        <v>55.507227109976341</v>
      </c>
    </row>
    <row r="342" spans="1:11">
      <c r="A342" s="17">
        <v>340</v>
      </c>
      <c r="B342" s="2">
        <v>340</v>
      </c>
      <c r="C342" s="2" t="s">
        <v>646</v>
      </c>
      <c r="D342" s="5">
        <v>12099.164673824069</v>
      </c>
      <c r="E342" s="5">
        <v>21231.139673545404</v>
      </c>
      <c r="F342" s="5">
        <v>6.4315565052375021</v>
      </c>
      <c r="G342" s="11">
        <v>0.53704616594477561</v>
      </c>
      <c r="H342" s="11">
        <v>5.4124252971097881</v>
      </c>
      <c r="I342" s="11">
        <v>0.19476922780497263</v>
      </c>
      <c r="J342" s="11">
        <v>6.1754563284651782</v>
      </c>
      <c r="K342" s="24">
        <v>65.109693243332188</v>
      </c>
    </row>
    <row r="343" spans="1:11">
      <c r="A343" s="17">
        <v>341</v>
      </c>
      <c r="B343" s="2">
        <v>341</v>
      </c>
      <c r="C343" s="2" t="s">
        <v>647</v>
      </c>
      <c r="D343" s="5">
        <v>13536.794763464221</v>
      </c>
      <c r="E343" s="5">
        <v>21550.174726143741</v>
      </c>
      <c r="F343" s="5">
        <v>8.9731779650783281</v>
      </c>
      <c r="G343" s="11">
        <v>0.55621135556866652</v>
      </c>
      <c r="H343" s="11">
        <v>6.463069680706834</v>
      </c>
      <c r="I343" s="11">
        <v>0.2842243634491024</v>
      </c>
      <c r="J343" s="11">
        <v>4.7753161905101011</v>
      </c>
      <c r="K343" s="24">
        <v>66.753895034614473</v>
      </c>
    </row>
    <row r="344" spans="1:11">
      <c r="A344" s="17">
        <v>342</v>
      </c>
      <c r="B344" s="2">
        <v>342</v>
      </c>
      <c r="C344" s="2" t="s">
        <v>646</v>
      </c>
      <c r="D344" s="5">
        <v>12963.907006675234</v>
      </c>
      <c r="E344" s="5">
        <v>21014.586029195489</v>
      </c>
      <c r="F344" s="5">
        <v>3.2640382705330993</v>
      </c>
      <c r="G344" s="11">
        <v>0.63147477309830724</v>
      </c>
      <c r="H344" s="11">
        <v>5.6441898307127154</v>
      </c>
      <c r="I344" s="11">
        <v>0.23085388700521436</v>
      </c>
      <c r="J344" s="11">
        <v>8.2177258510776916</v>
      </c>
      <c r="K344" s="24">
        <v>53.358652747244562</v>
      </c>
    </row>
    <row r="345" spans="1:11">
      <c r="A345" s="17">
        <v>343</v>
      </c>
      <c r="B345" s="2">
        <v>343</v>
      </c>
      <c r="C345" s="2" t="s">
        <v>648</v>
      </c>
      <c r="D345" s="5">
        <v>13642.013296017629</v>
      </c>
      <c r="E345" s="5">
        <v>22367.161765941564</v>
      </c>
      <c r="F345" s="5">
        <v>2.8950008601959851</v>
      </c>
      <c r="G345" s="11">
        <v>0.63794844633666803</v>
      </c>
      <c r="H345" s="11">
        <v>6.3251038408099554</v>
      </c>
      <c r="I345" s="11">
        <v>0.30828485052281396</v>
      </c>
      <c r="J345" s="11">
        <v>0.66519266355075946</v>
      </c>
      <c r="K345" s="24">
        <v>61.546158731325434</v>
      </c>
    </row>
    <row r="346" spans="1:11">
      <c r="A346" s="17">
        <v>344</v>
      </c>
      <c r="B346" s="2">
        <v>344</v>
      </c>
      <c r="C346" s="2" t="s">
        <v>647</v>
      </c>
      <c r="D346" s="5">
        <v>13514.778738905241</v>
      </c>
      <c r="E346" s="5">
        <v>21334.625505005097</v>
      </c>
      <c r="F346" s="5">
        <v>9.73815989955893</v>
      </c>
      <c r="G346" s="11">
        <v>0.63987303167668874</v>
      </c>
      <c r="H346" s="11">
        <v>6.3331886843195058</v>
      </c>
      <c r="I346" s="11">
        <v>0.18454672840518471</v>
      </c>
      <c r="J346" s="11">
        <v>7.3631175820722534</v>
      </c>
      <c r="K346" s="24">
        <v>64.89547749858248</v>
      </c>
    </row>
    <row r="347" spans="1:11">
      <c r="A347" s="17">
        <v>345</v>
      </c>
      <c r="B347" s="2">
        <v>345</v>
      </c>
      <c r="C347" s="2" t="s">
        <v>648</v>
      </c>
      <c r="D347" s="5">
        <v>12915.88636854265</v>
      </c>
      <c r="E347" s="5">
        <v>21859.817881704221</v>
      </c>
      <c r="F347" s="5">
        <v>4.4461807877560275</v>
      </c>
      <c r="G347" s="11">
        <v>0.59736783447879138</v>
      </c>
      <c r="H347" s="11">
        <v>5.8796521974329004</v>
      </c>
      <c r="I347" s="11">
        <v>0.28486566530843449</v>
      </c>
      <c r="J347" s="11">
        <v>6.837226068146582</v>
      </c>
      <c r="K347" s="24">
        <v>69.059388005354961</v>
      </c>
    </row>
    <row r="348" spans="1:11">
      <c r="A348" s="17">
        <v>346</v>
      </c>
      <c r="B348" s="2">
        <v>346</v>
      </c>
      <c r="C348" s="2" t="s">
        <v>646</v>
      </c>
      <c r="D348" s="5">
        <v>13316.859731499952</v>
      </c>
      <c r="E348" s="5">
        <v>22563.240297130978</v>
      </c>
      <c r="F348" s="5">
        <v>4.359453878311804</v>
      </c>
      <c r="G348" s="11">
        <v>0.55802273734007035</v>
      </c>
      <c r="H348" s="11">
        <v>6.4003859194792163</v>
      </c>
      <c r="I348" s="11">
        <v>0.26053269626529074</v>
      </c>
      <c r="J348" s="11">
        <v>5.4513642027362481</v>
      </c>
      <c r="K348" s="24">
        <v>67.338926561862721</v>
      </c>
    </row>
    <row r="349" spans="1:11">
      <c r="A349" s="17">
        <v>347</v>
      </c>
      <c r="B349" s="2">
        <v>347</v>
      </c>
      <c r="C349" s="2" t="s">
        <v>646</v>
      </c>
      <c r="D349" s="5">
        <v>13573.736164513482</v>
      </c>
      <c r="E349" s="5">
        <v>21589.220868463162</v>
      </c>
      <c r="F349" s="5">
        <v>6.3928524494549563</v>
      </c>
      <c r="G349" s="11">
        <v>0.5822162599259173</v>
      </c>
      <c r="H349" s="11">
        <v>6.2728033244024424</v>
      </c>
      <c r="I349" s="11">
        <v>0.34370180088628333</v>
      </c>
      <c r="J349" s="11">
        <v>7.4573723697497813</v>
      </c>
      <c r="K349" s="24">
        <v>58.049721184054036</v>
      </c>
    </row>
    <row r="350" spans="1:11">
      <c r="A350" s="17">
        <v>348</v>
      </c>
      <c r="B350" s="2">
        <v>348</v>
      </c>
      <c r="C350" s="2" t="s">
        <v>647</v>
      </c>
      <c r="D350" s="5">
        <v>13990.909788159277</v>
      </c>
      <c r="E350" s="5">
        <v>21680.639581063151</v>
      </c>
      <c r="F350" s="5">
        <v>4.9246334114805066</v>
      </c>
      <c r="G350" s="11">
        <v>0.54885686381458076</v>
      </c>
      <c r="H350" s="11">
        <v>6.498256935234334</v>
      </c>
      <c r="I350" s="11">
        <v>0.16230605513967022</v>
      </c>
      <c r="J350" s="11">
        <v>3.6880539289953491</v>
      </c>
      <c r="K350" s="24">
        <v>59.378136412728693</v>
      </c>
    </row>
    <row r="351" spans="1:11">
      <c r="A351" s="17">
        <v>349</v>
      </c>
      <c r="B351" s="2">
        <v>349</v>
      </c>
      <c r="C351" s="2" t="s">
        <v>647</v>
      </c>
      <c r="D351" s="5">
        <v>12251.934317870271</v>
      </c>
      <c r="E351" s="5">
        <v>21913.919571943115</v>
      </c>
      <c r="F351" s="5">
        <v>5.6012589347637984</v>
      </c>
      <c r="G351" s="11">
        <v>0.59268684198177657</v>
      </c>
      <c r="H351" s="11">
        <v>6.5866873006927413</v>
      </c>
      <c r="I351" s="11">
        <v>0.24655674859288412</v>
      </c>
      <c r="J351" s="11">
        <v>5.298010098941039</v>
      </c>
      <c r="K351" s="24">
        <v>56.321083103891581</v>
      </c>
    </row>
    <row r="352" spans="1:11">
      <c r="A352" s="17">
        <v>350</v>
      </c>
      <c r="B352" s="2">
        <v>350</v>
      </c>
      <c r="C352" s="2" t="s">
        <v>648</v>
      </c>
      <c r="D352" s="5">
        <v>12872.22357427361</v>
      </c>
      <c r="E352" s="5">
        <v>22538.191278271843</v>
      </c>
      <c r="F352" s="5">
        <v>6.0684948384341695</v>
      </c>
      <c r="G352" s="11">
        <v>0.63809855327126574</v>
      </c>
      <c r="H352" s="11">
        <v>6.2850021543055696</v>
      </c>
      <c r="I352" s="11">
        <v>0.30568921288433559</v>
      </c>
      <c r="J352" s="11">
        <v>0.63335484410831544</v>
      </c>
      <c r="K352" s="24">
        <v>63.66236028764861</v>
      </c>
    </row>
    <row r="353" spans="1:11">
      <c r="A353" s="17">
        <v>351</v>
      </c>
      <c r="B353" s="2">
        <v>351</v>
      </c>
      <c r="C353" s="2" t="s">
        <v>647</v>
      </c>
      <c r="D353" s="5">
        <v>12810.062226204698</v>
      </c>
      <c r="E353" s="5">
        <v>21829.578262895229</v>
      </c>
      <c r="F353" s="5">
        <v>8.1697170141587847</v>
      </c>
      <c r="G353" s="11">
        <v>0.59837469793710629</v>
      </c>
      <c r="H353" s="11">
        <v>5.5414063436557477</v>
      </c>
      <c r="I353" s="11">
        <v>0.39460523655136059</v>
      </c>
      <c r="J353" s="11">
        <v>3.9712839274128315</v>
      </c>
      <c r="K353" s="24">
        <v>66.771795649217168</v>
      </c>
    </row>
    <row r="354" spans="1:11">
      <c r="A354" s="17">
        <v>352</v>
      </c>
      <c r="B354" s="2">
        <v>352</v>
      </c>
      <c r="C354" s="2" t="s">
        <v>647</v>
      </c>
      <c r="D354" s="5">
        <v>11406.970993672237</v>
      </c>
      <c r="E354" s="5">
        <v>20977.664295969153</v>
      </c>
      <c r="F354" s="5">
        <v>7.7548637625177506</v>
      </c>
      <c r="G354" s="11">
        <v>0.61486208706701295</v>
      </c>
      <c r="H354" s="11">
        <v>5.9471680422859059</v>
      </c>
      <c r="I354" s="11">
        <v>0.2147211988263007</v>
      </c>
      <c r="J354" s="11">
        <v>11.550263749691428</v>
      </c>
      <c r="K354" s="24">
        <v>54.754566945982518</v>
      </c>
    </row>
    <row r="355" spans="1:11">
      <c r="A355" s="17">
        <v>353</v>
      </c>
      <c r="B355" s="2">
        <v>353</v>
      </c>
      <c r="C355" s="2" t="s">
        <v>646</v>
      </c>
      <c r="D355" s="5">
        <v>13515.896053146369</v>
      </c>
      <c r="E355" s="5">
        <v>20986.516180527833</v>
      </c>
      <c r="F355" s="5">
        <v>4.4551172898827716</v>
      </c>
      <c r="G355" s="11">
        <v>0.68888905482599516</v>
      </c>
      <c r="H355" s="11">
        <v>6.3330034005286358</v>
      </c>
      <c r="I355" s="11">
        <v>0.17739665522824</v>
      </c>
      <c r="J355" s="11">
        <v>4.5452450192763978</v>
      </c>
      <c r="K355" s="24">
        <v>53.086153814949469</v>
      </c>
    </row>
    <row r="356" spans="1:11">
      <c r="A356" s="17">
        <v>354</v>
      </c>
      <c r="B356" s="2">
        <v>354</v>
      </c>
      <c r="C356" s="2" t="s">
        <v>648</v>
      </c>
      <c r="D356" s="5">
        <v>13265.656657719026</v>
      </c>
      <c r="E356" s="5">
        <v>20290.381773520057</v>
      </c>
      <c r="F356" s="5">
        <v>2.1148409709503611</v>
      </c>
      <c r="G356" s="11">
        <v>0.590702288672037</v>
      </c>
      <c r="H356" s="11">
        <v>5.6489336839614985</v>
      </c>
      <c r="I356" s="11">
        <v>0.2811625439069485</v>
      </c>
      <c r="J356" s="11">
        <v>7.5296004210557372</v>
      </c>
      <c r="K356" s="24">
        <v>53.394605676573704</v>
      </c>
    </row>
    <row r="357" spans="1:11">
      <c r="A357" s="17">
        <v>355</v>
      </c>
      <c r="B357" s="2">
        <v>355</v>
      </c>
      <c r="C357" s="2" t="s">
        <v>646</v>
      </c>
      <c r="D357" s="5">
        <v>14013.257664597566</v>
      </c>
      <c r="E357" s="5">
        <v>20722.841047244874</v>
      </c>
      <c r="F357" s="5">
        <v>4.2932163944051425</v>
      </c>
      <c r="G357" s="11">
        <v>0.59593745502643292</v>
      </c>
      <c r="H357" s="11">
        <v>6.1028064266167199</v>
      </c>
      <c r="I357" s="11">
        <v>0.34741911329503639</v>
      </c>
      <c r="J357" s="11">
        <v>7.2703033538667556</v>
      </c>
      <c r="K357" s="24">
        <v>54.132975688910122</v>
      </c>
    </row>
    <row r="358" spans="1:11">
      <c r="A358" s="17">
        <v>356</v>
      </c>
      <c r="B358" s="2">
        <v>356</v>
      </c>
      <c r="C358" s="2" t="s">
        <v>646</v>
      </c>
      <c r="D358" s="5">
        <v>12329.076748979949</v>
      </c>
      <c r="E358" s="5">
        <v>23092.672851816606</v>
      </c>
      <c r="F358" s="5">
        <v>1.0313172012565772</v>
      </c>
      <c r="G358" s="11">
        <v>0.57305774213891714</v>
      </c>
      <c r="H358" s="11">
        <v>5.7648860448954871</v>
      </c>
      <c r="I358" s="11">
        <v>0.261079635241249</v>
      </c>
      <c r="J358" s="11">
        <v>7.9487122830053965</v>
      </c>
      <c r="K358" s="24">
        <v>64.887581507141206</v>
      </c>
    </row>
    <row r="359" spans="1:11">
      <c r="A359" s="17">
        <v>357</v>
      </c>
      <c r="B359" s="2">
        <v>357</v>
      </c>
      <c r="C359" s="2" t="s">
        <v>648</v>
      </c>
      <c r="D359" s="5">
        <v>14533.757389696055</v>
      </c>
      <c r="E359" s="5">
        <v>22573.36553111556</v>
      </c>
      <c r="F359" s="5">
        <v>7.040160497769655</v>
      </c>
      <c r="G359" s="11">
        <v>0.62664504507556562</v>
      </c>
      <c r="H359" s="11">
        <v>5.8995290307756783</v>
      </c>
      <c r="I359" s="11">
        <v>0.14621930486056955</v>
      </c>
      <c r="J359" s="11">
        <v>10.064443063138558</v>
      </c>
      <c r="K359" s="24">
        <v>54.824136622735026</v>
      </c>
    </row>
    <row r="360" spans="1:11">
      <c r="A360" s="18">
        <v>358</v>
      </c>
      <c r="B360" s="19">
        <v>358</v>
      </c>
      <c r="C360" s="19" t="s">
        <v>648</v>
      </c>
      <c r="D360" s="22">
        <v>12591.87160507843</v>
      </c>
      <c r="E360" s="22">
        <v>19169.177623552532</v>
      </c>
      <c r="F360" s="22">
        <v>2.7805615756797195</v>
      </c>
      <c r="G360" s="25">
        <v>0.54277354341029427</v>
      </c>
      <c r="H360" s="25">
        <v>5.9786604047087017</v>
      </c>
      <c r="I360" s="25">
        <v>0.29195041596223748</v>
      </c>
      <c r="J360" s="25">
        <v>3.0441383961036523</v>
      </c>
      <c r="K360" s="26">
        <v>61.57742412683065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1"/>
  <sheetViews>
    <sheetView topLeftCell="A353" workbookViewId="0">
      <selection activeCell="B361" sqref="B361"/>
    </sheetView>
  </sheetViews>
  <sheetFormatPr defaultRowHeight="14.4"/>
  <cols>
    <col min="1" max="1" width="23.6640625" bestFit="1" customWidth="1"/>
    <col min="2" max="2" width="24.33203125" bestFit="1" customWidth="1"/>
    <col min="3" max="3" width="10.77734375" bestFit="1" customWidth="1"/>
    <col min="4" max="4" width="14.6640625" bestFit="1" customWidth="1"/>
    <col min="5" max="5" width="17.5546875" bestFit="1" customWidth="1"/>
    <col min="6" max="6" width="13.88671875" bestFit="1" customWidth="1"/>
    <col min="7" max="7" width="17.21875" bestFit="1" customWidth="1"/>
    <col min="8" max="8" width="19.109375" bestFit="1" customWidth="1"/>
    <col min="9" max="9" width="14" bestFit="1" customWidth="1"/>
  </cols>
  <sheetData>
    <row r="2" spans="1:9" ht="17.399999999999999">
      <c r="A2" s="49" t="s">
        <v>47</v>
      </c>
      <c r="B2" s="49" t="s">
        <v>40</v>
      </c>
      <c r="C2" s="49" t="s">
        <v>505</v>
      </c>
      <c r="D2" s="49" t="s">
        <v>45</v>
      </c>
      <c r="E2" s="49" t="s">
        <v>44</v>
      </c>
      <c r="F2" s="49" t="s">
        <v>556</v>
      </c>
      <c r="G2" s="49" t="s">
        <v>557</v>
      </c>
      <c r="H2" s="49" t="s">
        <v>558</v>
      </c>
      <c r="I2" s="49" t="s">
        <v>559</v>
      </c>
    </row>
    <row r="3" spans="1:9">
      <c r="A3" s="17">
        <v>1</v>
      </c>
      <c r="B3" s="17">
        <v>1</v>
      </c>
      <c r="C3" s="2" t="s">
        <v>649</v>
      </c>
      <c r="D3" s="11">
        <v>3.7333866191105916</v>
      </c>
      <c r="E3" s="12">
        <v>0.32903492720623762</v>
      </c>
      <c r="F3" s="11">
        <v>0.11214396272689192</v>
      </c>
      <c r="G3" s="2" t="s">
        <v>953</v>
      </c>
      <c r="H3" s="2" t="s">
        <v>957</v>
      </c>
      <c r="I3" s="29" t="s">
        <v>1</v>
      </c>
    </row>
    <row r="4" spans="1:9">
      <c r="A4" s="17">
        <v>2</v>
      </c>
      <c r="B4" s="17">
        <v>2</v>
      </c>
      <c r="C4" s="2" t="s">
        <v>650</v>
      </c>
      <c r="D4" s="11">
        <v>1.4345392436147666</v>
      </c>
      <c r="E4" s="12">
        <v>0.35116086047099815</v>
      </c>
      <c r="F4" s="11">
        <v>0.12231632671213993</v>
      </c>
      <c r="G4" s="2" t="s">
        <v>954</v>
      </c>
      <c r="H4" s="2" t="s">
        <v>956</v>
      </c>
      <c r="I4" s="29" t="s">
        <v>2</v>
      </c>
    </row>
    <row r="5" spans="1:9">
      <c r="A5" s="17">
        <v>3</v>
      </c>
      <c r="B5" s="17">
        <v>3</v>
      </c>
      <c r="C5" s="2" t="s">
        <v>651</v>
      </c>
      <c r="D5" s="11">
        <v>3.843110912689939</v>
      </c>
      <c r="E5" s="12">
        <v>0.25006494482357811</v>
      </c>
      <c r="F5" s="11">
        <v>0.10897783091022212</v>
      </c>
      <c r="G5" s="2" t="s">
        <v>953</v>
      </c>
      <c r="H5" s="2" t="s">
        <v>958</v>
      </c>
      <c r="I5" s="29" t="s">
        <v>1</v>
      </c>
    </row>
    <row r="6" spans="1:9">
      <c r="A6" s="17">
        <v>4</v>
      </c>
      <c r="B6" s="17">
        <v>4</v>
      </c>
      <c r="C6" s="2" t="s">
        <v>652</v>
      </c>
      <c r="D6" s="11">
        <v>3.3023315141103229</v>
      </c>
      <c r="E6" s="12">
        <v>0.34105945065465493</v>
      </c>
      <c r="F6" s="11">
        <v>0.13451181530226314</v>
      </c>
      <c r="G6" s="2" t="s">
        <v>955</v>
      </c>
      <c r="H6" s="2" t="s">
        <v>956</v>
      </c>
      <c r="I6" s="29" t="s">
        <v>2</v>
      </c>
    </row>
    <row r="7" spans="1:9">
      <c r="A7" s="17">
        <v>5</v>
      </c>
      <c r="B7" s="17">
        <v>5</v>
      </c>
      <c r="C7" s="2" t="s">
        <v>653</v>
      </c>
      <c r="D7" s="11">
        <v>3.8680115039236842</v>
      </c>
      <c r="E7" s="12">
        <v>0.43361113537929485</v>
      </c>
      <c r="F7" s="11">
        <v>0.1193216597772298</v>
      </c>
      <c r="G7" s="2" t="s">
        <v>953</v>
      </c>
      <c r="H7" s="2" t="s">
        <v>957</v>
      </c>
      <c r="I7" s="29" t="s">
        <v>0</v>
      </c>
    </row>
    <row r="8" spans="1:9">
      <c r="A8" s="17">
        <v>6</v>
      </c>
      <c r="B8" s="17">
        <v>6</v>
      </c>
      <c r="C8" s="2" t="s">
        <v>654</v>
      </c>
      <c r="D8" s="11">
        <v>2.3033731522222514</v>
      </c>
      <c r="E8" s="12">
        <v>0.28804689935230998</v>
      </c>
      <c r="F8" s="11">
        <v>9.8691272003721686E-2</v>
      </c>
      <c r="G8" s="2" t="s">
        <v>953</v>
      </c>
      <c r="H8" s="2" t="s">
        <v>956</v>
      </c>
      <c r="I8" s="29" t="s">
        <v>2</v>
      </c>
    </row>
    <row r="9" spans="1:9">
      <c r="A9" s="17">
        <v>7</v>
      </c>
      <c r="B9" s="17">
        <v>7</v>
      </c>
      <c r="C9" s="2" t="s">
        <v>655</v>
      </c>
      <c r="D9" s="11">
        <v>2.9448510537762775</v>
      </c>
      <c r="E9" s="12">
        <v>0.38990759558845456</v>
      </c>
      <c r="F9" s="11">
        <v>0.15463312142682845</v>
      </c>
      <c r="G9" s="2" t="s">
        <v>955</v>
      </c>
      <c r="H9" s="2" t="s">
        <v>956</v>
      </c>
      <c r="I9" s="29" t="s">
        <v>1</v>
      </c>
    </row>
    <row r="10" spans="1:9">
      <c r="A10" s="17">
        <v>8</v>
      </c>
      <c r="B10" s="17">
        <v>8</v>
      </c>
      <c r="C10" s="2" t="s">
        <v>656</v>
      </c>
      <c r="D10" s="11">
        <v>3.1562103173704816</v>
      </c>
      <c r="E10" s="12">
        <v>0.42018547313335874</v>
      </c>
      <c r="F10" s="11">
        <v>0.16788138829096716</v>
      </c>
      <c r="G10" s="2" t="s">
        <v>954</v>
      </c>
      <c r="H10" s="2" t="s">
        <v>958</v>
      </c>
      <c r="I10" s="29" t="s">
        <v>0</v>
      </c>
    </row>
    <row r="11" spans="1:9">
      <c r="A11" s="17">
        <v>9</v>
      </c>
      <c r="B11" s="17">
        <v>9</v>
      </c>
      <c r="C11" s="2" t="s">
        <v>657</v>
      </c>
      <c r="D11" s="11">
        <v>2.0646131325114983</v>
      </c>
      <c r="E11" s="12">
        <v>0.32366028950281178</v>
      </c>
      <c r="F11" s="11">
        <v>0.10004597106953589</v>
      </c>
      <c r="G11" s="2" t="s">
        <v>953</v>
      </c>
      <c r="H11" s="2" t="s">
        <v>956</v>
      </c>
      <c r="I11" s="29" t="s">
        <v>0</v>
      </c>
    </row>
    <row r="12" spans="1:9">
      <c r="A12" s="17">
        <v>10</v>
      </c>
      <c r="B12" s="17">
        <v>10</v>
      </c>
      <c r="C12" s="2" t="s">
        <v>658</v>
      </c>
      <c r="D12" s="11">
        <v>2.7542449777460423</v>
      </c>
      <c r="E12" s="12">
        <v>0.20119792778376722</v>
      </c>
      <c r="F12" s="11">
        <v>0.10248856938514656</v>
      </c>
      <c r="G12" s="2" t="s">
        <v>955</v>
      </c>
      <c r="H12" s="2" t="s">
        <v>958</v>
      </c>
      <c r="I12" s="29" t="s">
        <v>2</v>
      </c>
    </row>
    <row r="13" spans="1:9">
      <c r="A13" s="17">
        <v>11</v>
      </c>
      <c r="B13" s="17">
        <v>11</v>
      </c>
      <c r="C13" s="6" t="s">
        <v>659</v>
      </c>
      <c r="D13" s="11">
        <v>3.2095444733344483</v>
      </c>
      <c r="E13" s="12">
        <v>0.23969472257039159</v>
      </c>
      <c r="F13" s="11">
        <v>0.10926252471390036</v>
      </c>
      <c r="G13" s="2" t="s">
        <v>955</v>
      </c>
      <c r="H13" s="2" t="s">
        <v>956</v>
      </c>
      <c r="I13" s="29" t="s">
        <v>2</v>
      </c>
    </row>
    <row r="14" spans="1:9">
      <c r="A14" s="17">
        <v>12</v>
      </c>
      <c r="B14" s="17">
        <v>12</v>
      </c>
      <c r="C14" s="6" t="s">
        <v>660</v>
      </c>
      <c r="D14" s="11">
        <v>1.7557703448759856</v>
      </c>
      <c r="E14" s="12">
        <v>0.48940375502996902</v>
      </c>
      <c r="F14" s="11">
        <v>0.11937699773906935</v>
      </c>
      <c r="G14" s="2" t="s">
        <v>953</v>
      </c>
      <c r="H14" s="2" t="s">
        <v>956</v>
      </c>
      <c r="I14" s="29" t="s">
        <v>0</v>
      </c>
    </row>
    <row r="15" spans="1:9">
      <c r="A15" s="17">
        <v>13</v>
      </c>
      <c r="B15" s="17">
        <v>13</v>
      </c>
      <c r="C15" s="6" t="s">
        <v>661</v>
      </c>
      <c r="D15" s="11">
        <v>2.7996339856467092</v>
      </c>
      <c r="E15" s="12">
        <v>0.43299019706199759</v>
      </c>
      <c r="F15" s="11">
        <v>0.15105174789650483</v>
      </c>
      <c r="G15" s="2" t="s">
        <v>953</v>
      </c>
      <c r="H15" s="2" t="s">
        <v>958</v>
      </c>
      <c r="I15" s="29" t="s">
        <v>0</v>
      </c>
    </row>
    <row r="16" spans="1:9">
      <c r="A16" s="17">
        <v>14</v>
      </c>
      <c r="B16" s="17">
        <v>14</v>
      </c>
      <c r="C16" s="6" t="s">
        <v>662</v>
      </c>
      <c r="D16" s="11">
        <v>2.6240396783900213</v>
      </c>
      <c r="E16" s="12">
        <v>0.46684123170297243</v>
      </c>
      <c r="F16" s="11">
        <v>0.12673098966783619</v>
      </c>
      <c r="G16" s="2" t="s">
        <v>954</v>
      </c>
      <c r="H16" s="2" t="s">
        <v>958</v>
      </c>
      <c r="I16" s="29" t="s">
        <v>1</v>
      </c>
    </row>
    <row r="17" spans="1:9">
      <c r="A17" s="17">
        <v>15</v>
      </c>
      <c r="B17" s="17">
        <v>15</v>
      </c>
      <c r="C17" s="6" t="s">
        <v>663</v>
      </c>
      <c r="D17" s="11">
        <v>2.9433089148873695</v>
      </c>
      <c r="E17" s="12">
        <v>0.25216181991953635</v>
      </c>
      <c r="F17" s="11">
        <v>0.11135221127287515</v>
      </c>
      <c r="G17" s="2" t="s">
        <v>955</v>
      </c>
      <c r="H17" s="2" t="s">
        <v>956</v>
      </c>
      <c r="I17" s="29" t="s">
        <v>2</v>
      </c>
    </row>
    <row r="18" spans="1:9">
      <c r="A18" s="17">
        <v>16</v>
      </c>
      <c r="B18" s="17">
        <v>16</v>
      </c>
      <c r="C18" s="6" t="s">
        <v>664</v>
      </c>
      <c r="D18" s="11">
        <v>2.2408993474304442</v>
      </c>
      <c r="E18" s="12">
        <v>0.30758620335535669</v>
      </c>
      <c r="F18" s="11">
        <v>0.12363302980415575</v>
      </c>
      <c r="G18" s="2" t="s">
        <v>953</v>
      </c>
      <c r="H18" s="2" t="s">
        <v>957</v>
      </c>
      <c r="I18" s="29" t="s">
        <v>0</v>
      </c>
    </row>
    <row r="19" spans="1:9">
      <c r="A19" s="17">
        <v>17</v>
      </c>
      <c r="B19" s="17">
        <v>17</v>
      </c>
      <c r="C19" s="6" t="s">
        <v>665</v>
      </c>
      <c r="D19" s="11">
        <v>2.5838605263337957</v>
      </c>
      <c r="E19" s="12">
        <v>0.23112747688418311</v>
      </c>
      <c r="F19" s="11">
        <v>0.12447701422215324</v>
      </c>
      <c r="G19" s="2" t="s">
        <v>955</v>
      </c>
      <c r="H19" s="2" t="s">
        <v>956</v>
      </c>
      <c r="I19" s="29" t="s">
        <v>0</v>
      </c>
    </row>
    <row r="20" spans="1:9">
      <c r="A20" s="17">
        <v>18</v>
      </c>
      <c r="B20" s="17">
        <v>18</v>
      </c>
      <c r="C20" s="6" t="s">
        <v>666</v>
      </c>
      <c r="D20" s="11">
        <v>2.865068104234</v>
      </c>
      <c r="E20" s="12">
        <v>0.32536671913720783</v>
      </c>
      <c r="F20" s="11">
        <v>0.117034725354275</v>
      </c>
      <c r="G20" s="2" t="s">
        <v>955</v>
      </c>
      <c r="H20" s="2" t="s">
        <v>956</v>
      </c>
      <c r="I20" s="29" t="s">
        <v>0</v>
      </c>
    </row>
    <row r="21" spans="1:9">
      <c r="A21" s="17">
        <v>19</v>
      </c>
      <c r="B21" s="17">
        <v>19</v>
      </c>
      <c r="C21" s="6" t="s">
        <v>667</v>
      </c>
      <c r="D21" s="11">
        <v>2.8444759351036044</v>
      </c>
      <c r="E21" s="12">
        <v>0.3935272425066505</v>
      </c>
      <c r="F21" s="11">
        <v>0.14024610234796092</v>
      </c>
      <c r="G21" s="2" t="s">
        <v>955</v>
      </c>
      <c r="H21" s="2" t="s">
        <v>956</v>
      </c>
      <c r="I21" s="29" t="s">
        <v>0</v>
      </c>
    </row>
    <row r="22" spans="1:9">
      <c r="A22" s="17">
        <v>20</v>
      </c>
      <c r="B22" s="17">
        <v>20</v>
      </c>
      <c r="C22" s="6" t="s">
        <v>668</v>
      </c>
      <c r="D22" s="11">
        <v>2.5029511214738012</v>
      </c>
      <c r="E22" s="12">
        <v>0.19320490044509642</v>
      </c>
      <c r="F22" s="11">
        <v>0.11350579178778936</v>
      </c>
      <c r="G22" s="2" t="s">
        <v>953</v>
      </c>
      <c r="H22" s="2" t="s">
        <v>957</v>
      </c>
      <c r="I22" s="29" t="s">
        <v>1</v>
      </c>
    </row>
    <row r="23" spans="1:9">
      <c r="A23" s="17">
        <v>21</v>
      </c>
      <c r="B23" s="17">
        <v>21</v>
      </c>
      <c r="C23" s="6" t="s">
        <v>669</v>
      </c>
      <c r="D23" s="11">
        <v>2.4139746257200603</v>
      </c>
      <c r="E23" s="12">
        <v>0.38705411014478885</v>
      </c>
      <c r="F23" s="11">
        <v>0.14458284135739269</v>
      </c>
      <c r="G23" s="2" t="s">
        <v>953</v>
      </c>
      <c r="H23" s="2" t="s">
        <v>956</v>
      </c>
      <c r="I23" s="29" t="s">
        <v>1</v>
      </c>
    </row>
    <row r="24" spans="1:9">
      <c r="A24" s="17">
        <v>22</v>
      </c>
      <c r="B24" s="17">
        <v>22</v>
      </c>
      <c r="C24" s="6" t="s">
        <v>670</v>
      </c>
      <c r="D24" s="11">
        <v>3.0631524422419023</v>
      </c>
      <c r="E24" s="12">
        <v>0.36133902452337496</v>
      </c>
      <c r="F24" s="11">
        <v>0.13556581257543804</v>
      </c>
      <c r="G24" s="2" t="s">
        <v>954</v>
      </c>
      <c r="H24" s="2" t="s">
        <v>957</v>
      </c>
      <c r="I24" s="29" t="s">
        <v>0</v>
      </c>
    </row>
    <row r="25" spans="1:9">
      <c r="A25" s="17">
        <v>23</v>
      </c>
      <c r="B25" s="17">
        <v>23</v>
      </c>
      <c r="C25" s="6" t="s">
        <v>671</v>
      </c>
      <c r="D25" s="11">
        <v>2.2682131940159014</v>
      </c>
      <c r="E25" s="12">
        <v>0.37869227122217852</v>
      </c>
      <c r="F25" s="11">
        <v>0.13123960755874214</v>
      </c>
      <c r="G25" s="2" t="s">
        <v>953</v>
      </c>
      <c r="H25" s="2" t="s">
        <v>958</v>
      </c>
      <c r="I25" s="29" t="s">
        <v>2</v>
      </c>
    </row>
    <row r="26" spans="1:9">
      <c r="A26" s="17">
        <v>24</v>
      </c>
      <c r="B26" s="17">
        <v>24</v>
      </c>
      <c r="C26" s="6" t="s">
        <v>672</v>
      </c>
      <c r="D26" s="11">
        <v>3.6963806755151598</v>
      </c>
      <c r="E26" s="12">
        <v>0.33379909830972609</v>
      </c>
      <c r="F26" s="11">
        <v>0.13270042855137582</v>
      </c>
      <c r="G26" s="2" t="s">
        <v>955</v>
      </c>
      <c r="H26" s="2" t="s">
        <v>956</v>
      </c>
      <c r="I26" s="29" t="s">
        <v>1</v>
      </c>
    </row>
    <row r="27" spans="1:9">
      <c r="A27" s="17">
        <v>25</v>
      </c>
      <c r="B27" s="17">
        <v>25</v>
      </c>
      <c r="C27" s="6" t="s">
        <v>673</v>
      </c>
      <c r="D27" s="11">
        <v>3.3571114673899718</v>
      </c>
      <c r="E27" s="12">
        <v>0.31988276130749727</v>
      </c>
      <c r="F27" s="11">
        <v>0.13576503843805404</v>
      </c>
      <c r="G27" s="2" t="s">
        <v>954</v>
      </c>
      <c r="H27" s="2" t="s">
        <v>958</v>
      </c>
      <c r="I27" s="29" t="s">
        <v>0</v>
      </c>
    </row>
    <row r="28" spans="1:9">
      <c r="A28" s="17">
        <v>26</v>
      </c>
      <c r="B28" s="17">
        <v>26</v>
      </c>
      <c r="C28" s="6" t="s">
        <v>674</v>
      </c>
      <c r="D28" s="11">
        <v>2.1666462694478685</v>
      </c>
      <c r="E28" s="12">
        <v>0.27265301453798019</v>
      </c>
      <c r="F28" s="11">
        <v>9.3940763279621031E-2</v>
      </c>
      <c r="G28" s="2" t="s">
        <v>954</v>
      </c>
      <c r="H28" s="2" t="s">
        <v>957</v>
      </c>
      <c r="I28" s="29" t="s">
        <v>1</v>
      </c>
    </row>
    <row r="29" spans="1:9">
      <c r="A29" s="17">
        <v>27</v>
      </c>
      <c r="B29" s="17">
        <v>27</v>
      </c>
      <c r="C29" s="6" t="s">
        <v>675</v>
      </c>
      <c r="D29" s="11">
        <v>2.4068170531749491</v>
      </c>
      <c r="E29" s="12">
        <v>0.25543198765507258</v>
      </c>
      <c r="F29" s="11">
        <v>0.15014697452042675</v>
      </c>
      <c r="G29" s="2" t="s">
        <v>954</v>
      </c>
      <c r="H29" s="2" t="s">
        <v>956</v>
      </c>
      <c r="I29" s="29" t="s">
        <v>0</v>
      </c>
    </row>
    <row r="30" spans="1:9">
      <c r="A30" s="17">
        <v>28</v>
      </c>
      <c r="B30" s="17">
        <v>28</v>
      </c>
      <c r="C30" s="6" t="s">
        <v>676</v>
      </c>
      <c r="D30" s="11">
        <v>2.0218913713828659</v>
      </c>
      <c r="E30" s="12">
        <v>0.34626458462543086</v>
      </c>
      <c r="F30" s="11">
        <v>0.1478967940721268</v>
      </c>
      <c r="G30" s="2" t="s">
        <v>953</v>
      </c>
      <c r="H30" s="2" t="s">
        <v>957</v>
      </c>
      <c r="I30" s="29" t="s">
        <v>0</v>
      </c>
    </row>
    <row r="31" spans="1:9">
      <c r="A31" s="17">
        <v>29</v>
      </c>
      <c r="B31" s="17">
        <v>29</v>
      </c>
      <c r="C31" s="6" t="s">
        <v>677</v>
      </c>
      <c r="D31" s="11">
        <v>2.6894886187578084</v>
      </c>
      <c r="E31" s="12">
        <v>0.35805401226542743</v>
      </c>
      <c r="F31" s="11">
        <v>0.15098191994465743</v>
      </c>
      <c r="G31" s="2" t="s">
        <v>954</v>
      </c>
      <c r="H31" s="2" t="s">
        <v>957</v>
      </c>
      <c r="I31" s="29" t="s">
        <v>0</v>
      </c>
    </row>
    <row r="32" spans="1:9">
      <c r="A32" s="17">
        <v>30</v>
      </c>
      <c r="B32" s="17">
        <v>30</v>
      </c>
      <c r="C32" s="6" t="s">
        <v>678</v>
      </c>
      <c r="D32" s="11">
        <v>2.3581328939830417</v>
      </c>
      <c r="E32" s="12">
        <v>0.47289802699441497</v>
      </c>
      <c r="F32" s="11">
        <v>9.316925181164698E-2</v>
      </c>
      <c r="G32" s="2" t="s">
        <v>953</v>
      </c>
      <c r="H32" s="2" t="s">
        <v>957</v>
      </c>
      <c r="I32" s="29" t="s">
        <v>2</v>
      </c>
    </row>
    <row r="33" spans="1:9">
      <c r="A33" s="17">
        <v>31</v>
      </c>
      <c r="B33" s="17">
        <v>31</v>
      </c>
      <c r="C33" s="6" t="s">
        <v>679</v>
      </c>
      <c r="D33" s="11">
        <v>2.9700588600966729</v>
      </c>
      <c r="E33" s="12">
        <v>0.46731395494379102</v>
      </c>
      <c r="F33" s="11">
        <v>0.12045891699298955</v>
      </c>
      <c r="G33" s="2" t="s">
        <v>955</v>
      </c>
      <c r="H33" s="2" t="s">
        <v>958</v>
      </c>
      <c r="I33" s="29" t="s">
        <v>1</v>
      </c>
    </row>
    <row r="34" spans="1:9">
      <c r="A34" s="17">
        <v>32</v>
      </c>
      <c r="B34" s="17">
        <v>32</v>
      </c>
      <c r="C34" s="6" t="s">
        <v>680</v>
      </c>
      <c r="D34" s="11">
        <v>3.1178367276656207</v>
      </c>
      <c r="E34" s="12">
        <v>0.51795656098210019</v>
      </c>
      <c r="F34" s="11">
        <v>0.13715913647669914</v>
      </c>
      <c r="G34" s="2" t="s">
        <v>953</v>
      </c>
      <c r="H34" s="2" t="s">
        <v>957</v>
      </c>
      <c r="I34" s="29" t="s">
        <v>1</v>
      </c>
    </row>
    <row r="35" spans="1:9">
      <c r="A35" s="17">
        <v>33</v>
      </c>
      <c r="B35" s="17">
        <v>33</v>
      </c>
      <c r="C35" s="6" t="s">
        <v>681</v>
      </c>
      <c r="D35" s="11">
        <v>1.6350698491218498</v>
      </c>
      <c r="E35" s="12">
        <v>0.41681058822422346</v>
      </c>
      <c r="F35" s="11">
        <v>9.2455884303577485E-2</v>
      </c>
      <c r="G35" s="2" t="s">
        <v>953</v>
      </c>
      <c r="H35" s="2" t="s">
        <v>956</v>
      </c>
      <c r="I35" s="29" t="s">
        <v>1</v>
      </c>
    </row>
    <row r="36" spans="1:9">
      <c r="A36" s="17">
        <v>34</v>
      </c>
      <c r="B36" s="17">
        <v>34</v>
      </c>
      <c r="C36" s="6" t="s">
        <v>682</v>
      </c>
      <c r="D36" s="11">
        <v>3.4869650863178538</v>
      </c>
      <c r="E36" s="12">
        <v>0.29924220087440334</v>
      </c>
      <c r="F36" s="11">
        <v>0.14199605614121175</v>
      </c>
      <c r="G36" s="2" t="s">
        <v>953</v>
      </c>
      <c r="H36" s="2" t="s">
        <v>956</v>
      </c>
      <c r="I36" s="29" t="s">
        <v>1</v>
      </c>
    </row>
    <row r="37" spans="1:9">
      <c r="A37" s="17">
        <v>35</v>
      </c>
      <c r="B37" s="17">
        <v>35</v>
      </c>
      <c r="C37" s="6" t="s">
        <v>683</v>
      </c>
      <c r="D37" s="11">
        <v>2.0139347701255463</v>
      </c>
      <c r="E37" s="12">
        <v>0.40259874165957443</v>
      </c>
      <c r="F37" s="11">
        <v>0.15236753098915506</v>
      </c>
      <c r="G37" s="2" t="s">
        <v>954</v>
      </c>
      <c r="H37" s="2" t="s">
        <v>957</v>
      </c>
      <c r="I37" s="29" t="s">
        <v>1</v>
      </c>
    </row>
    <row r="38" spans="1:9">
      <c r="A38" s="17">
        <v>36</v>
      </c>
      <c r="B38" s="17">
        <v>36</v>
      </c>
      <c r="C38" s="6" t="s">
        <v>684</v>
      </c>
      <c r="D38" s="11">
        <v>2.4067227327536092</v>
      </c>
      <c r="E38" s="12">
        <v>0.4573982742683147</v>
      </c>
      <c r="F38" s="11">
        <v>0.12901481909293216</v>
      </c>
      <c r="G38" s="2" t="s">
        <v>953</v>
      </c>
      <c r="H38" s="2" t="s">
        <v>958</v>
      </c>
      <c r="I38" s="29" t="s">
        <v>2</v>
      </c>
    </row>
    <row r="39" spans="1:9">
      <c r="A39" s="17">
        <v>37</v>
      </c>
      <c r="B39" s="17">
        <v>37</v>
      </c>
      <c r="C39" s="6" t="s">
        <v>685</v>
      </c>
      <c r="D39" s="11">
        <v>3.1045725815560434</v>
      </c>
      <c r="E39" s="12">
        <v>0.24996391001212759</v>
      </c>
      <c r="F39" s="11">
        <v>0.16416523485358631</v>
      </c>
      <c r="G39" s="2" t="s">
        <v>955</v>
      </c>
      <c r="H39" s="2" t="s">
        <v>957</v>
      </c>
      <c r="I39" s="29" t="s">
        <v>2</v>
      </c>
    </row>
    <row r="40" spans="1:9">
      <c r="A40" s="17">
        <v>38</v>
      </c>
      <c r="B40" s="17">
        <v>38</v>
      </c>
      <c r="C40" s="6" t="s">
        <v>686</v>
      </c>
      <c r="D40" s="11">
        <v>2.2905287319876368</v>
      </c>
      <c r="E40" s="12">
        <v>0.42853338812409492</v>
      </c>
      <c r="F40" s="11">
        <v>0.1330581243047127</v>
      </c>
      <c r="G40" s="2" t="s">
        <v>955</v>
      </c>
      <c r="H40" s="2" t="s">
        <v>958</v>
      </c>
      <c r="I40" s="29" t="s">
        <v>1</v>
      </c>
    </row>
    <row r="41" spans="1:9">
      <c r="A41" s="17">
        <v>39</v>
      </c>
      <c r="B41" s="17">
        <v>39</v>
      </c>
      <c r="C41" s="6" t="s">
        <v>687</v>
      </c>
      <c r="D41" s="11">
        <v>3.6014781624320893</v>
      </c>
      <c r="E41" s="12">
        <v>0.44877947551202668</v>
      </c>
      <c r="F41" s="11">
        <v>0.18858809001185001</v>
      </c>
      <c r="G41" s="2" t="s">
        <v>953</v>
      </c>
      <c r="H41" s="2" t="s">
        <v>957</v>
      </c>
      <c r="I41" s="29" t="s">
        <v>2</v>
      </c>
    </row>
    <row r="42" spans="1:9">
      <c r="A42" s="17">
        <v>40</v>
      </c>
      <c r="B42" s="17">
        <v>40</v>
      </c>
      <c r="C42" s="6" t="s">
        <v>688</v>
      </c>
      <c r="D42" s="11">
        <v>2.7855613787827895</v>
      </c>
      <c r="E42" s="12">
        <v>0.10144549895147792</v>
      </c>
      <c r="F42" s="11">
        <v>0.15157393953640713</v>
      </c>
      <c r="G42" s="2" t="s">
        <v>953</v>
      </c>
      <c r="H42" s="2" t="s">
        <v>957</v>
      </c>
      <c r="I42" s="29" t="s">
        <v>2</v>
      </c>
    </row>
    <row r="43" spans="1:9">
      <c r="A43" s="17">
        <v>41</v>
      </c>
      <c r="B43" s="17">
        <v>41</v>
      </c>
      <c r="C43" s="6" t="s">
        <v>689</v>
      </c>
      <c r="D43" s="11">
        <v>1.9012757640079361</v>
      </c>
      <c r="E43" s="12">
        <v>0.38798712865417473</v>
      </c>
      <c r="F43" s="11">
        <v>0.12263232349423198</v>
      </c>
      <c r="G43" s="2" t="s">
        <v>953</v>
      </c>
      <c r="H43" s="2" t="s">
        <v>957</v>
      </c>
      <c r="I43" s="29" t="s">
        <v>1</v>
      </c>
    </row>
    <row r="44" spans="1:9">
      <c r="A44" s="17">
        <v>42</v>
      </c>
      <c r="B44" s="17">
        <v>42</v>
      </c>
      <c r="C44" s="6" t="s">
        <v>690</v>
      </c>
      <c r="D44" s="11">
        <v>2.5775585747536969</v>
      </c>
      <c r="E44" s="12">
        <v>0.40128137660093488</v>
      </c>
      <c r="F44" s="11">
        <v>0.14684160079977665</v>
      </c>
      <c r="G44" s="2" t="s">
        <v>953</v>
      </c>
      <c r="H44" s="2" t="s">
        <v>956</v>
      </c>
      <c r="I44" s="29" t="s">
        <v>2</v>
      </c>
    </row>
    <row r="45" spans="1:9">
      <c r="A45" s="17">
        <v>43</v>
      </c>
      <c r="B45" s="17">
        <v>43</v>
      </c>
      <c r="C45" s="6" t="s">
        <v>691</v>
      </c>
      <c r="D45" s="11">
        <v>1.6183158474226946</v>
      </c>
      <c r="E45" s="12">
        <v>0.28121243520462302</v>
      </c>
      <c r="F45" s="11">
        <v>0.11073033770171242</v>
      </c>
      <c r="G45" s="2" t="s">
        <v>955</v>
      </c>
      <c r="H45" s="2" t="s">
        <v>956</v>
      </c>
      <c r="I45" s="29" t="s">
        <v>1</v>
      </c>
    </row>
    <row r="46" spans="1:9">
      <c r="A46" s="17">
        <v>44</v>
      </c>
      <c r="B46" s="17">
        <v>44</v>
      </c>
      <c r="C46" s="6" t="s">
        <v>692</v>
      </c>
      <c r="D46" s="11">
        <v>2.2542483819192274</v>
      </c>
      <c r="E46" s="12">
        <v>0.31084992695713298</v>
      </c>
      <c r="F46" s="11">
        <v>9.4570410845422892E-2</v>
      </c>
      <c r="G46" s="2" t="s">
        <v>955</v>
      </c>
      <c r="H46" s="2" t="s">
        <v>957</v>
      </c>
      <c r="I46" s="29" t="s">
        <v>1</v>
      </c>
    </row>
    <row r="47" spans="1:9">
      <c r="A47" s="17">
        <v>45</v>
      </c>
      <c r="B47" s="17">
        <v>45</v>
      </c>
      <c r="C47" s="6" t="s">
        <v>693</v>
      </c>
      <c r="D47" s="11">
        <v>2.7877368119292658</v>
      </c>
      <c r="E47" s="12">
        <v>0.34643731042496073</v>
      </c>
      <c r="F47" s="11">
        <v>0.16192338039954485</v>
      </c>
      <c r="G47" s="2" t="s">
        <v>954</v>
      </c>
      <c r="H47" s="2" t="s">
        <v>958</v>
      </c>
      <c r="I47" s="29" t="s">
        <v>2</v>
      </c>
    </row>
    <row r="48" spans="1:9">
      <c r="A48" s="17">
        <v>46</v>
      </c>
      <c r="B48" s="17">
        <v>46</v>
      </c>
      <c r="C48" s="6" t="s">
        <v>694</v>
      </c>
      <c r="D48" s="11">
        <v>2.7741007738726911</v>
      </c>
      <c r="E48" s="12">
        <v>0.18673176808323477</v>
      </c>
      <c r="F48" s="11">
        <v>0.14852377363976849</v>
      </c>
      <c r="G48" s="2" t="s">
        <v>955</v>
      </c>
      <c r="H48" s="2" t="s">
        <v>956</v>
      </c>
      <c r="I48" s="29" t="s">
        <v>0</v>
      </c>
    </row>
    <row r="49" spans="1:9">
      <c r="A49" s="17">
        <v>47</v>
      </c>
      <c r="B49" s="17">
        <v>47</v>
      </c>
      <c r="C49" s="6" t="s">
        <v>695</v>
      </c>
      <c r="D49" s="11">
        <v>2.3458779763818018</v>
      </c>
      <c r="E49" s="12">
        <v>2.926015375368296E-2</v>
      </c>
      <c r="F49" s="11">
        <v>0.122115628850539</v>
      </c>
      <c r="G49" s="2" t="s">
        <v>955</v>
      </c>
      <c r="H49" s="2" t="s">
        <v>956</v>
      </c>
      <c r="I49" s="29" t="s">
        <v>0</v>
      </c>
    </row>
    <row r="50" spans="1:9">
      <c r="A50" s="17">
        <v>48</v>
      </c>
      <c r="B50" s="17">
        <v>48</v>
      </c>
      <c r="C50" s="6" t="s">
        <v>696</v>
      </c>
      <c r="D50" s="11">
        <v>2.2244175275185842</v>
      </c>
      <c r="E50" s="12">
        <v>0.52755647910333936</v>
      </c>
      <c r="F50" s="11">
        <v>0.10189930979149359</v>
      </c>
      <c r="G50" s="2" t="s">
        <v>954</v>
      </c>
      <c r="H50" s="2" t="s">
        <v>958</v>
      </c>
      <c r="I50" s="29" t="s">
        <v>1</v>
      </c>
    </row>
    <row r="51" spans="1:9">
      <c r="A51" s="17">
        <v>49</v>
      </c>
      <c r="B51" s="17">
        <v>49</v>
      </c>
      <c r="C51" s="6" t="s">
        <v>697</v>
      </c>
      <c r="D51" s="11">
        <v>2.2249565013548125</v>
      </c>
      <c r="E51" s="12">
        <v>0.40280771571150398</v>
      </c>
      <c r="F51" s="11">
        <v>0.14430516254887699</v>
      </c>
      <c r="G51" s="2" t="s">
        <v>955</v>
      </c>
      <c r="H51" s="2" t="s">
        <v>957</v>
      </c>
      <c r="I51" s="29" t="s">
        <v>0</v>
      </c>
    </row>
    <row r="52" spans="1:9">
      <c r="A52" s="17">
        <v>50</v>
      </c>
      <c r="B52" s="17">
        <v>50</v>
      </c>
      <c r="C52" s="6" t="s">
        <v>698</v>
      </c>
      <c r="D52" s="11">
        <v>2.342799088342348</v>
      </c>
      <c r="E52" s="12">
        <v>0.31430398265246184</v>
      </c>
      <c r="F52" s="11">
        <v>0.14014474141785832</v>
      </c>
      <c r="G52" s="2" t="s">
        <v>953</v>
      </c>
      <c r="H52" s="2" t="s">
        <v>958</v>
      </c>
      <c r="I52" s="29" t="s">
        <v>0</v>
      </c>
    </row>
    <row r="53" spans="1:9">
      <c r="A53" s="17">
        <v>51</v>
      </c>
      <c r="B53" s="17">
        <v>51</v>
      </c>
      <c r="C53" s="6" t="s">
        <v>699</v>
      </c>
      <c r="D53" s="11">
        <v>1.9982196404957211</v>
      </c>
      <c r="E53" s="12">
        <v>0.29100958984844327</v>
      </c>
      <c r="F53" s="11">
        <v>0.13624072411002636</v>
      </c>
      <c r="G53" s="2" t="s">
        <v>954</v>
      </c>
      <c r="H53" s="2" t="s">
        <v>956</v>
      </c>
      <c r="I53" s="29" t="s">
        <v>2</v>
      </c>
    </row>
    <row r="54" spans="1:9">
      <c r="A54" s="17">
        <v>52</v>
      </c>
      <c r="B54" s="17">
        <v>52</v>
      </c>
      <c r="C54" s="6" t="s">
        <v>700</v>
      </c>
      <c r="D54" s="11">
        <v>2.4291110321932354</v>
      </c>
      <c r="E54" s="12">
        <v>0.36637281358042673</v>
      </c>
      <c r="F54" s="11">
        <v>0.12570049837845182</v>
      </c>
      <c r="G54" s="2" t="s">
        <v>955</v>
      </c>
      <c r="H54" s="2" t="s">
        <v>958</v>
      </c>
      <c r="I54" s="29" t="s">
        <v>0</v>
      </c>
    </row>
    <row r="55" spans="1:9">
      <c r="A55" s="17">
        <v>53</v>
      </c>
      <c r="B55" s="17">
        <v>53</v>
      </c>
      <c r="C55" s="6" t="s">
        <v>701</v>
      </c>
      <c r="D55" s="11">
        <v>3.0627697708181802</v>
      </c>
      <c r="E55" s="12">
        <v>0.42521673056643339</v>
      </c>
      <c r="F55" s="11">
        <v>0.14537180981332859</v>
      </c>
      <c r="G55" s="2" t="s">
        <v>955</v>
      </c>
      <c r="H55" s="2" t="s">
        <v>958</v>
      </c>
      <c r="I55" s="29" t="s">
        <v>1</v>
      </c>
    </row>
    <row r="56" spans="1:9">
      <c r="A56" s="17">
        <v>54</v>
      </c>
      <c r="B56" s="17">
        <v>54</v>
      </c>
      <c r="C56" s="6" t="s">
        <v>702</v>
      </c>
      <c r="D56" s="11">
        <v>2.2256571673419092</v>
      </c>
      <c r="E56" s="12">
        <v>0.51057848812223527</v>
      </c>
      <c r="F56" s="11">
        <v>0.12868907031756499</v>
      </c>
      <c r="G56" s="2" t="s">
        <v>954</v>
      </c>
      <c r="H56" s="2" t="s">
        <v>956</v>
      </c>
      <c r="I56" s="29" t="s">
        <v>1</v>
      </c>
    </row>
    <row r="57" spans="1:9">
      <c r="A57" s="17">
        <v>55</v>
      </c>
      <c r="B57" s="17">
        <v>55</v>
      </c>
      <c r="C57" s="6" t="s">
        <v>703</v>
      </c>
      <c r="D57" s="11">
        <v>2.471283040008915</v>
      </c>
      <c r="E57" s="12">
        <v>0.32874804818010306</v>
      </c>
      <c r="F57" s="11">
        <v>0.11803214266646683</v>
      </c>
      <c r="G57" s="2" t="s">
        <v>953</v>
      </c>
      <c r="H57" s="2" t="s">
        <v>956</v>
      </c>
      <c r="I57" s="29" t="s">
        <v>1</v>
      </c>
    </row>
    <row r="58" spans="1:9">
      <c r="A58" s="17">
        <v>56</v>
      </c>
      <c r="B58" s="17">
        <v>56</v>
      </c>
      <c r="C58" s="6" t="s">
        <v>704</v>
      </c>
      <c r="D58" s="11">
        <v>3.4632017298785502</v>
      </c>
      <c r="E58" s="12">
        <v>0.42264575134385085</v>
      </c>
      <c r="F58" s="11">
        <v>0.15546549085283551</v>
      </c>
      <c r="G58" s="2" t="s">
        <v>953</v>
      </c>
      <c r="H58" s="2" t="s">
        <v>957</v>
      </c>
      <c r="I58" s="29" t="s">
        <v>1</v>
      </c>
    </row>
    <row r="59" spans="1:9">
      <c r="A59" s="17">
        <v>57</v>
      </c>
      <c r="B59" s="17">
        <v>57</v>
      </c>
      <c r="C59" s="6" t="s">
        <v>705</v>
      </c>
      <c r="D59" s="11">
        <v>2.9623279541332739</v>
      </c>
      <c r="E59" s="12">
        <v>0.46093679414542565</v>
      </c>
      <c r="F59" s="11">
        <v>0.1057698391224185</v>
      </c>
      <c r="G59" s="2" t="s">
        <v>955</v>
      </c>
      <c r="H59" s="2" t="s">
        <v>958</v>
      </c>
      <c r="I59" s="29" t="s">
        <v>1</v>
      </c>
    </row>
    <row r="60" spans="1:9">
      <c r="A60" s="17">
        <v>58</v>
      </c>
      <c r="B60" s="17">
        <v>58</v>
      </c>
      <c r="C60" s="6" t="s">
        <v>706</v>
      </c>
      <c r="D60" s="11">
        <v>2.2032035173246403</v>
      </c>
      <c r="E60" s="12">
        <v>0.48107241066890127</v>
      </c>
      <c r="F60" s="11">
        <v>0.12166860115880446</v>
      </c>
      <c r="G60" s="2" t="s">
        <v>954</v>
      </c>
      <c r="H60" s="2" t="s">
        <v>958</v>
      </c>
      <c r="I60" s="29" t="s">
        <v>1</v>
      </c>
    </row>
    <row r="61" spans="1:9">
      <c r="A61" s="17">
        <v>59</v>
      </c>
      <c r="B61" s="17">
        <v>59</v>
      </c>
      <c r="C61" s="6" t="s">
        <v>707</v>
      </c>
      <c r="D61" s="11">
        <v>2.7664864210013764</v>
      </c>
      <c r="E61" s="12">
        <v>0.3364211703071196</v>
      </c>
      <c r="F61" s="11">
        <v>0.14605334534334907</v>
      </c>
      <c r="G61" s="2" t="s">
        <v>954</v>
      </c>
      <c r="H61" s="2" t="s">
        <v>958</v>
      </c>
      <c r="I61" s="29" t="s">
        <v>1</v>
      </c>
    </row>
    <row r="62" spans="1:9">
      <c r="A62" s="17">
        <v>60</v>
      </c>
      <c r="B62" s="17">
        <v>60</v>
      </c>
      <c r="C62" s="6" t="s">
        <v>708</v>
      </c>
      <c r="D62" s="11">
        <v>3.3166277951162773</v>
      </c>
      <c r="E62" s="12">
        <v>0.14956200455588986</v>
      </c>
      <c r="F62" s="11">
        <v>0.15571269468236643</v>
      </c>
      <c r="G62" s="2" t="s">
        <v>955</v>
      </c>
      <c r="H62" s="2" t="s">
        <v>957</v>
      </c>
      <c r="I62" s="29" t="s">
        <v>0</v>
      </c>
    </row>
    <row r="63" spans="1:9">
      <c r="A63" s="17">
        <v>61</v>
      </c>
      <c r="B63" s="17">
        <v>61</v>
      </c>
      <c r="C63" s="6" t="s">
        <v>709</v>
      </c>
      <c r="D63" s="11">
        <v>1.9133110497709129</v>
      </c>
      <c r="E63" s="12">
        <v>0.42346760854587773</v>
      </c>
      <c r="F63" s="11">
        <v>0.14442851146381691</v>
      </c>
      <c r="G63" s="2" t="s">
        <v>953</v>
      </c>
      <c r="H63" s="2" t="s">
        <v>958</v>
      </c>
      <c r="I63" s="29" t="s">
        <v>1</v>
      </c>
    </row>
    <row r="64" spans="1:9">
      <c r="A64" s="17">
        <v>62</v>
      </c>
      <c r="B64" s="17">
        <v>62</v>
      </c>
      <c r="C64" s="6" t="s">
        <v>710</v>
      </c>
      <c r="D64" s="11">
        <v>2.5851298097181132</v>
      </c>
      <c r="E64" s="12">
        <v>0.23312815026901079</v>
      </c>
      <c r="F64" s="11">
        <v>0.15430734965147713</v>
      </c>
      <c r="G64" s="2" t="s">
        <v>955</v>
      </c>
      <c r="H64" s="2" t="s">
        <v>957</v>
      </c>
      <c r="I64" s="29" t="s">
        <v>0</v>
      </c>
    </row>
    <row r="65" spans="1:9">
      <c r="A65" s="17">
        <v>63</v>
      </c>
      <c r="B65" s="17">
        <v>63</v>
      </c>
      <c r="C65" s="6" t="s">
        <v>711</v>
      </c>
      <c r="D65" s="11">
        <v>4.0529226476568727</v>
      </c>
      <c r="E65" s="12">
        <v>0.32639363788138143</v>
      </c>
      <c r="F65" s="11">
        <v>0.15011877653987177</v>
      </c>
      <c r="G65" s="2" t="s">
        <v>954</v>
      </c>
      <c r="H65" s="2" t="s">
        <v>958</v>
      </c>
      <c r="I65" s="29" t="s">
        <v>1</v>
      </c>
    </row>
    <row r="66" spans="1:9">
      <c r="A66" s="17">
        <v>64</v>
      </c>
      <c r="B66" s="17">
        <v>64</v>
      </c>
      <c r="C66" s="6" t="s">
        <v>712</v>
      </c>
      <c r="D66" s="11">
        <v>2.6902741731241111</v>
      </c>
      <c r="E66" s="12">
        <v>0.31189940016946638</v>
      </c>
      <c r="F66" s="11">
        <v>0.11675292954859834</v>
      </c>
      <c r="G66" s="2" t="s">
        <v>955</v>
      </c>
      <c r="H66" s="2" t="s">
        <v>957</v>
      </c>
      <c r="I66" s="29" t="s">
        <v>2</v>
      </c>
    </row>
    <row r="67" spans="1:9">
      <c r="A67" s="17">
        <v>65</v>
      </c>
      <c r="B67" s="17">
        <v>65</v>
      </c>
      <c r="C67" s="6" t="s">
        <v>713</v>
      </c>
      <c r="D67" s="11">
        <v>2.6758424749418044</v>
      </c>
      <c r="E67" s="12">
        <v>0.26134931348013923</v>
      </c>
      <c r="F67" s="11">
        <v>0.13963230177123115</v>
      </c>
      <c r="G67" s="2" t="s">
        <v>955</v>
      </c>
      <c r="H67" s="2" t="s">
        <v>957</v>
      </c>
      <c r="I67" s="29" t="s">
        <v>1</v>
      </c>
    </row>
    <row r="68" spans="1:9">
      <c r="A68" s="17">
        <v>66</v>
      </c>
      <c r="B68" s="17">
        <v>66</v>
      </c>
      <c r="C68" s="6" t="s">
        <v>714</v>
      </c>
      <c r="D68" s="11">
        <v>2.1872445020339217</v>
      </c>
      <c r="E68" s="12">
        <v>0.33966210929310181</v>
      </c>
      <c r="F68" s="11">
        <v>0.14891606136925112</v>
      </c>
      <c r="G68" s="2" t="s">
        <v>953</v>
      </c>
      <c r="H68" s="2" t="s">
        <v>956</v>
      </c>
      <c r="I68" s="29" t="s">
        <v>0</v>
      </c>
    </row>
    <row r="69" spans="1:9">
      <c r="A69" s="17">
        <v>67</v>
      </c>
      <c r="B69" s="17">
        <v>67</v>
      </c>
      <c r="C69" s="6" t="s">
        <v>715</v>
      </c>
      <c r="D69" s="11">
        <v>1.574311328563839</v>
      </c>
      <c r="E69" s="12">
        <v>0.22062561018418636</v>
      </c>
      <c r="F69" s="11">
        <v>0.13792174695081122</v>
      </c>
      <c r="G69" s="2" t="s">
        <v>954</v>
      </c>
      <c r="H69" s="2" t="s">
        <v>956</v>
      </c>
      <c r="I69" s="29" t="s">
        <v>1</v>
      </c>
    </row>
    <row r="70" spans="1:9">
      <c r="A70" s="17">
        <v>68</v>
      </c>
      <c r="B70" s="17">
        <v>68</v>
      </c>
      <c r="C70" s="6" t="s">
        <v>716</v>
      </c>
      <c r="D70" s="11">
        <v>1.8391603768172207</v>
      </c>
      <c r="E70" s="12">
        <v>0.44360184418354764</v>
      </c>
      <c r="F70" s="11">
        <v>0.12445990223395348</v>
      </c>
      <c r="G70" s="2" t="s">
        <v>955</v>
      </c>
      <c r="H70" s="2" t="s">
        <v>957</v>
      </c>
      <c r="I70" s="29" t="s">
        <v>1</v>
      </c>
    </row>
    <row r="71" spans="1:9">
      <c r="A71" s="17">
        <v>69</v>
      </c>
      <c r="B71" s="17">
        <v>69</v>
      </c>
      <c r="C71" s="6" t="s">
        <v>717</v>
      </c>
      <c r="D71" s="11">
        <v>1.9773680902066406</v>
      </c>
      <c r="E71" s="12">
        <v>0.16255429880646988</v>
      </c>
      <c r="F71" s="11">
        <v>9.7727664668214864E-2</v>
      </c>
      <c r="G71" s="2" t="s">
        <v>954</v>
      </c>
      <c r="H71" s="2" t="s">
        <v>956</v>
      </c>
      <c r="I71" s="29" t="s">
        <v>0</v>
      </c>
    </row>
    <row r="72" spans="1:9">
      <c r="A72" s="17">
        <v>70</v>
      </c>
      <c r="B72" s="17">
        <v>70</v>
      </c>
      <c r="C72" s="6" t="s">
        <v>718</v>
      </c>
      <c r="D72" s="11">
        <v>2.1697413267024093</v>
      </c>
      <c r="E72" s="12">
        <v>0.27054601294611347</v>
      </c>
      <c r="F72" s="11">
        <v>0.12139945534440449</v>
      </c>
      <c r="G72" s="2" t="s">
        <v>954</v>
      </c>
      <c r="H72" s="2" t="s">
        <v>958</v>
      </c>
      <c r="I72" s="29" t="s">
        <v>0</v>
      </c>
    </row>
    <row r="73" spans="1:9">
      <c r="A73" s="17">
        <v>71</v>
      </c>
      <c r="B73" s="17">
        <v>71</v>
      </c>
      <c r="C73" s="6" t="s">
        <v>719</v>
      </c>
      <c r="D73" s="11">
        <v>3.4478517550227696</v>
      </c>
      <c r="E73" s="12">
        <v>0.4413882842370076</v>
      </c>
      <c r="F73" s="11">
        <v>0.13061552598910203</v>
      </c>
      <c r="G73" s="2" t="s">
        <v>953</v>
      </c>
      <c r="H73" s="2" t="s">
        <v>958</v>
      </c>
      <c r="I73" s="29" t="s">
        <v>1</v>
      </c>
    </row>
    <row r="74" spans="1:9">
      <c r="A74" s="17">
        <v>72</v>
      </c>
      <c r="B74" s="17">
        <v>72</v>
      </c>
      <c r="C74" s="6" t="s">
        <v>720</v>
      </c>
      <c r="D74" s="11">
        <v>2.5846763979783862</v>
      </c>
      <c r="E74" s="12">
        <v>0.29653750587630201</v>
      </c>
      <c r="F74" s="11">
        <v>0.15429423966051764</v>
      </c>
      <c r="G74" s="2" t="s">
        <v>954</v>
      </c>
      <c r="H74" s="2" t="s">
        <v>958</v>
      </c>
      <c r="I74" s="29" t="s">
        <v>0</v>
      </c>
    </row>
    <row r="75" spans="1:9">
      <c r="A75" s="17">
        <v>73</v>
      </c>
      <c r="B75" s="17">
        <v>73</v>
      </c>
      <c r="C75" s="6" t="s">
        <v>721</v>
      </c>
      <c r="D75" s="11">
        <v>3.5227610336509532</v>
      </c>
      <c r="E75" s="12">
        <v>0.19307831924624042</v>
      </c>
      <c r="F75" s="11">
        <v>0.14890157137924326</v>
      </c>
      <c r="G75" s="2" t="s">
        <v>953</v>
      </c>
      <c r="H75" s="2" t="s">
        <v>957</v>
      </c>
      <c r="I75" s="29" t="s">
        <v>0</v>
      </c>
    </row>
    <row r="76" spans="1:9">
      <c r="A76" s="17">
        <v>74</v>
      </c>
      <c r="B76" s="17">
        <v>74</v>
      </c>
      <c r="C76" s="6" t="s">
        <v>722</v>
      </c>
      <c r="D76" s="11">
        <v>2.5635951100916134</v>
      </c>
      <c r="E76" s="12">
        <v>0.33689377847412105</v>
      </c>
      <c r="F76" s="11">
        <v>0.13066865595246419</v>
      </c>
      <c r="G76" s="2" t="s">
        <v>955</v>
      </c>
      <c r="H76" s="2" t="s">
        <v>957</v>
      </c>
      <c r="I76" s="29" t="s">
        <v>0</v>
      </c>
    </row>
    <row r="77" spans="1:9">
      <c r="A77" s="17">
        <v>75</v>
      </c>
      <c r="B77" s="17">
        <v>75</v>
      </c>
      <c r="C77" s="6" t="s">
        <v>723</v>
      </c>
      <c r="D77" s="11">
        <v>2.7961771422046002</v>
      </c>
      <c r="E77" s="12">
        <v>0.37639988571089633</v>
      </c>
      <c r="F77" s="11">
        <v>0.16379447510925821</v>
      </c>
      <c r="G77" s="2" t="s">
        <v>953</v>
      </c>
      <c r="H77" s="2" t="s">
        <v>956</v>
      </c>
      <c r="I77" s="29" t="s">
        <v>0</v>
      </c>
    </row>
    <row r="78" spans="1:9">
      <c r="A78" s="17">
        <v>76</v>
      </c>
      <c r="B78" s="17">
        <v>76</v>
      </c>
      <c r="C78" s="6" t="s">
        <v>724</v>
      </c>
      <c r="D78" s="11">
        <v>1.9627376454222247</v>
      </c>
      <c r="E78" s="12">
        <v>0.45362408321369729</v>
      </c>
      <c r="F78" s="11">
        <v>0.16403404294405483</v>
      </c>
      <c r="G78" s="2" t="s">
        <v>953</v>
      </c>
      <c r="H78" s="2" t="s">
        <v>956</v>
      </c>
      <c r="I78" s="29" t="s">
        <v>2</v>
      </c>
    </row>
    <row r="79" spans="1:9">
      <c r="A79" s="17">
        <v>77</v>
      </c>
      <c r="B79" s="17">
        <v>77</v>
      </c>
      <c r="C79" s="6" t="s">
        <v>725</v>
      </c>
      <c r="D79" s="11">
        <v>2.0396263054639565</v>
      </c>
      <c r="E79" s="12">
        <v>0.30813406979876889</v>
      </c>
      <c r="F79" s="11">
        <v>0.11690725944217412</v>
      </c>
      <c r="G79" s="2" t="s">
        <v>955</v>
      </c>
      <c r="H79" s="2" t="s">
        <v>956</v>
      </c>
      <c r="I79" s="29" t="s">
        <v>0</v>
      </c>
    </row>
    <row r="80" spans="1:9">
      <c r="A80" s="17">
        <v>78</v>
      </c>
      <c r="B80" s="17">
        <v>78</v>
      </c>
      <c r="C80" s="6" t="s">
        <v>726</v>
      </c>
      <c r="D80" s="11">
        <v>2.7563826827239826</v>
      </c>
      <c r="E80" s="12">
        <v>0.29070004128033178</v>
      </c>
      <c r="F80" s="11">
        <v>9.5539906176869416E-2</v>
      </c>
      <c r="G80" s="2" t="s">
        <v>955</v>
      </c>
      <c r="H80" s="2" t="s">
        <v>956</v>
      </c>
      <c r="I80" s="29" t="s">
        <v>2</v>
      </c>
    </row>
    <row r="81" spans="1:9">
      <c r="A81" s="17">
        <v>79</v>
      </c>
      <c r="B81" s="17">
        <v>79</v>
      </c>
      <c r="C81" s="6" t="s">
        <v>727</v>
      </c>
      <c r="D81" s="11">
        <v>2.8405070665170786</v>
      </c>
      <c r="E81" s="12">
        <v>0.28854516898053406</v>
      </c>
      <c r="F81" s="11">
        <v>0.14619813024350697</v>
      </c>
      <c r="G81" s="2" t="s">
        <v>955</v>
      </c>
      <c r="H81" s="2" t="s">
        <v>956</v>
      </c>
      <c r="I81" s="29" t="s">
        <v>1</v>
      </c>
    </row>
    <row r="82" spans="1:9">
      <c r="A82" s="17">
        <v>80</v>
      </c>
      <c r="B82" s="17">
        <v>80</v>
      </c>
      <c r="C82" s="6" t="s">
        <v>728</v>
      </c>
      <c r="D82" s="11">
        <v>1.3243945504431611</v>
      </c>
      <c r="E82" s="12">
        <v>0.33012248985204495</v>
      </c>
      <c r="F82" s="11">
        <v>0.12311026316464996</v>
      </c>
      <c r="G82" s="2" t="s">
        <v>954</v>
      </c>
      <c r="H82" s="2" t="s">
        <v>956</v>
      </c>
      <c r="I82" s="29" t="s">
        <v>0</v>
      </c>
    </row>
    <row r="83" spans="1:9">
      <c r="A83" s="17">
        <v>81</v>
      </c>
      <c r="B83" s="17">
        <v>81</v>
      </c>
      <c r="C83" s="6" t="s">
        <v>729</v>
      </c>
      <c r="D83" s="11">
        <v>2.0625097871156175</v>
      </c>
      <c r="E83" s="12">
        <v>0.30868032520874111</v>
      </c>
      <c r="F83" s="11">
        <v>0.12869544131317162</v>
      </c>
      <c r="G83" s="2" t="s">
        <v>954</v>
      </c>
      <c r="H83" s="2" t="s">
        <v>958</v>
      </c>
      <c r="I83" s="29" t="s">
        <v>1</v>
      </c>
    </row>
    <row r="84" spans="1:9">
      <c r="A84" s="17">
        <v>82</v>
      </c>
      <c r="B84" s="17">
        <v>82</v>
      </c>
      <c r="C84" s="6" t="s">
        <v>730</v>
      </c>
      <c r="D84" s="11">
        <v>2.4175924875957424</v>
      </c>
      <c r="E84" s="12">
        <v>0.46326266613749612</v>
      </c>
      <c r="F84" s="11">
        <v>0.13867472043156887</v>
      </c>
      <c r="G84" s="2" t="s">
        <v>954</v>
      </c>
      <c r="H84" s="2" t="s">
        <v>957</v>
      </c>
      <c r="I84" s="29" t="s">
        <v>0</v>
      </c>
    </row>
    <row r="85" spans="1:9">
      <c r="A85" s="17">
        <v>83</v>
      </c>
      <c r="B85" s="17">
        <v>83</v>
      </c>
      <c r="C85" s="6" t="s">
        <v>731</v>
      </c>
      <c r="D85" s="11">
        <v>1.4130719157177953</v>
      </c>
      <c r="E85" s="12">
        <v>0.41632071898465073</v>
      </c>
      <c r="F85" s="11">
        <v>0.11810666261507868</v>
      </c>
      <c r="G85" s="2" t="s">
        <v>953</v>
      </c>
      <c r="H85" s="2" t="s">
        <v>958</v>
      </c>
      <c r="I85" s="29" t="s">
        <v>2</v>
      </c>
    </row>
    <row r="86" spans="1:9">
      <c r="A86" s="17">
        <v>84</v>
      </c>
      <c r="B86" s="17">
        <v>84</v>
      </c>
      <c r="C86" s="6" t="s">
        <v>732</v>
      </c>
      <c r="D86" s="11">
        <v>2.7955451953816226</v>
      </c>
      <c r="E86" s="12">
        <v>0.46922901340866519</v>
      </c>
      <c r="F86" s="11">
        <v>0.10739354600272782</v>
      </c>
      <c r="G86" s="2" t="s">
        <v>953</v>
      </c>
      <c r="H86" s="2" t="s">
        <v>958</v>
      </c>
      <c r="I86" s="29" t="s">
        <v>1</v>
      </c>
    </row>
    <row r="87" spans="1:9">
      <c r="A87" s="17">
        <v>85</v>
      </c>
      <c r="B87" s="17">
        <v>85</v>
      </c>
      <c r="C87" s="6" t="s">
        <v>733</v>
      </c>
      <c r="D87" s="11">
        <v>1.8843358163352821</v>
      </c>
      <c r="E87" s="12">
        <v>0.19301479849917813</v>
      </c>
      <c r="F87" s="11">
        <v>0.14171796333298153</v>
      </c>
      <c r="G87" s="2" t="s">
        <v>955</v>
      </c>
      <c r="H87" s="2" t="s">
        <v>957</v>
      </c>
      <c r="I87" s="29" t="s">
        <v>0</v>
      </c>
    </row>
    <row r="88" spans="1:9">
      <c r="A88" s="17">
        <v>86</v>
      </c>
      <c r="B88" s="17">
        <v>86</v>
      </c>
      <c r="C88" s="6" t="s">
        <v>734</v>
      </c>
      <c r="D88" s="11">
        <v>2.7067741834029437</v>
      </c>
      <c r="E88" s="12">
        <v>0.34446425475624709</v>
      </c>
      <c r="F88" s="11">
        <v>0.1436152320246456</v>
      </c>
      <c r="G88" s="2" t="s">
        <v>953</v>
      </c>
      <c r="H88" s="2" t="s">
        <v>957</v>
      </c>
      <c r="I88" s="29" t="s">
        <v>0</v>
      </c>
    </row>
    <row r="89" spans="1:9">
      <c r="A89" s="17">
        <v>87</v>
      </c>
      <c r="B89" s="17">
        <v>87</v>
      </c>
      <c r="C89" s="6" t="s">
        <v>735</v>
      </c>
      <c r="D89" s="11">
        <v>2.204801574749057</v>
      </c>
      <c r="E89" s="12">
        <v>0.26471637336970888</v>
      </c>
      <c r="F89" s="11">
        <v>0.11341986384704433</v>
      </c>
      <c r="G89" s="2" t="s">
        <v>954</v>
      </c>
      <c r="H89" s="2" t="s">
        <v>958</v>
      </c>
      <c r="I89" s="29" t="s">
        <v>0</v>
      </c>
    </row>
    <row r="90" spans="1:9">
      <c r="A90" s="17">
        <v>88</v>
      </c>
      <c r="B90" s="17">
        <v>88</v>
      </c>
      <c r="C90" s="6" t="s">
        <v>736</v>
      </c>
      <c r="D90" s="11">
        <v>2.0872015259878243</v>
      </c>
      <c r="E90" s="12">
        <v>0.3661636093808629</v>
      </c>
      <c r="F90" s="11">
        <v>0.12987547849943076</v>
      </c>
      <c r="G90" s="2" t="s">
        <v>955</v>
      </c>
      <c r="H90" s="2" t="s">
        <v>957</v>
      </c>
      <c r="I90" s="29" t="s">
        <v>2</v>
      </c>
    </row>
    <row r="91" spans="1:9">
      <c r="A91" s="17">
        <v>89</v>
      </c>
      <c r="B91" s="17">
        <v>89</v>
      </c>
      <c r="C91" s="6" t="s">
        <v>737</v>
      </c>
      <c r="D91" s="11">
        <v>2.3546410172415779</v>
      </c>
      <c r="E91" s="12">
        <v>0.40832366406237997</v>
      </c>
      <c r="F91" s="11">
        <v>0.16468291849659727</v>
      </c>
      <c r="G91" s="2" t="s">
        <v>954</v>
      </c>
      <c r="H91" s="2" t="s">
        <v>958</v>
      </c>
      <c r="I91" s="29" t="s">
        <v>0</v>
      </c>
    </row>
    <row r="92" spans="1:9">
      <c r="A92" s="17">
        <v>90</v>
      </c>
      <c r="B92" s="17">
        <v>90</v>
      </c>
      <c r="C92" s="6" t="s">
        <v>738</v>
      </c>
      <c r="D92" s="11">
        <v>3.1783594471702816</v>
      </c>
      <c r="E92" s="12">
        <v>0.34560486643175681</v>
      </c>
      <c r="F92" s="11">
        <v>0.16525893009938591</v>
      </c>
      <c r="G92" s="2" t="s">
        <v>955</v>
      </c>
      <c r="H92" s="2" t="s">
        <v>956</v>
      </c>
      <c r="I92" s="29" t="s">
        <v>2</v>
      </c>
    </row>
    <row r="93" spans="1:9">
      <c r="A93" s="17">
        <v>91</v>
      </c>
      <c r="B93" s="17">
        <v>91</v>
      </c>
      <c r="C93" s="6" t="s">
        <v>739</v>
      </c>
      <c r="D93" s="11">
        <v>2.6185825682982102</v>
      </c>
      <c r="E93" s="12">
        <v>0.34017867565825144</v>
      </c>
      <c r="F93" s="11">
        <v>0.12879726224295701</v>
      </c>
      <c r="G93" s="2" t="s">
        <v>954</v>
      </c>
      <c r="H93" s="2" t="s">
        <v>957</v>
      </c>
      <c r="I93" s="29" t="s">
        <v>2</v>
      </c>
    </row>
    <row r="94" spans="1:9">
      <c r="A94" s="17">
        <v>92</v>
      </c>
      <c r="B94" s="17">
        <v>92</v>
      </c>
      <c r="C94" s="6" t="s">
        <v>740</v>
      </c>
      <c r="D94" s="11">
        <v>2.6999959136950782</v>
      </c>
      <c r="E94" s="12">
        <v>0.30336345456152047</v>
      </c>
      <c r="F94" s="11">
        <v>0.15574383666089125</v>
      </c>
      <c r="G94" s="2" t="s">
        <v>953</v>
      </c>
      <c r="H94" s="2" t="s">
        <v>957</v>
      </c>
      <c r="I94" s="29" t="s">
        <v>2</v>
      </c>
    </row>
    <row r="95" spans="1:9">
      <c r="A95" s="17">
        <v>93</v>
      </c>
      <c r="B95" s="17">
        <v>93</v>
      </c>
      <c r="C95" s="6" t="s">
        <v>741</v>
      </c>
      <c r="D95" s="11">
        <v>3.2961952969848642</v>
      </c>
      <c r="E95" s="12">
        <v>0.19540925448626512</v>
      </c>
      <c r="F95" s="11">
        <v>0.13740323530837123</v>
      </c>
      <c r="G95" s="2" t="s">
        <v>954</v>
      </c>
      <c r="H95" s="2" t="s">
        <v>958</v>
      </c>
      <c r="I95" s="29" t="s">
        <v>2</v>
      </c>
    </row>
    <row r="96" spans="1:9">
      <c r="A96" s="17">
        <v>94</v>
      </c>
      <c r="B96" s="17">
        <v>94</v>
      </c>
      <c r="C96" s="6" t="s">
        <v>742</v>
      </c>
      <c r="D96" s="11">
        <v>2.9207272585839963</v>
      </c>
      <c r="E96" s="12">
        <v>0.43618211460187739</v>
      </c>
      <c r="F96" s="11">
        <v>0.14777744715442714</v>
      </c>
      <c r="G96" s="2" t="s">
        <v>954</v>
      </c>
      <c r="H96" s="2" t="s">
        <v>958</v>
      </c>
      <c r="I96" s="29" t="s">
        <v>1</v>
      </c>
    </row>
    <row r="97" spans="1:9">
      <c r="A97" s="17">
        <v>95</v>
      </c>
      <c r="B97" s="17">
        <v>95</v>
      </c>
      <c r="C97" s="6" t="s">
        <v>743</v>
      </c>
      <c r="D97" s="11">
        <v>1.6025023550677577</v>
      </c>
      <c r="E97" s="12">
        <v>0.38614709831807703</v>
      </c>
      <c r="F97" s="11">
        <v>0.10258342131973769</v>
      </c>
      <c r="G97" s="2" t="s">
        <v>954</v>
      </c>
      <c r="H97" s="2" t="s">
        <v>958</v>
      </c>
      <c r="I97" s="29" t="s">
        <v>0</v>
      </c>
    </row>
    <row r="98" spans="1:9">
      <c r="A98" s="17">
        <v>96</v>
      </c>
      <c r="B98" s="17">
        <v>96</v>
      </c>
      <c r="C98" s="6" t="s">
        <v>744</v>
      </c>
      <c r="D98" s="11">
        <v>3.3180210424829273</v>
      </c>
      <c r="E98" s="12">
        <v>0.36465326553087651</v>
      </c>
      <c r="F98" s="11">
        <v>0.14134453559049326</v>
      </c>
      <c r="G98" s="2" t="s">
        <v>955</v>
      </c>
      <c r="H98" s="2" t="s">
        <v>958</v>
      </c>
      <c r="I98" s="29" t="s">
        <v>2</v>
      </c>
    </row>
    <row r="99" spans="1:9">
      <c r="A99" s="17">
        <v>97</v>
      </c>
      <c r="B99" s="17">
        <v>97</v>
      </c>
      <c r="C99" s="6" t="s">
        <v>745</v>
      </c>
      <c r="D99" s="11">
        <v>2.4485605767908272</v>
      </c>
      <c r="E99" s="12">
        <v>0.25389437131042358</v>
      </c>
      <c r="F99" s="11">
        <v>0.14527083988295636</v>
      </c>
      <c r="G99" s="2" t="s">
        <v>955</v>
      </c>
      <c r="H99" s="2" t="s">
        <v>957</v>
      </c>
      <c r="I99" s="29" t="s">
        <v>0</v>
      </c>
    </row>
    <row r="100" spans="1:9">
      <c r="A100" s="17">
        <v>98</v>
      </c>
      <c r="B100" s="17">
        <v>98</v>
      </c>
      <c r="C100" s="6" t="s">
        <v>746</v>
      </c>
      <c r="D100" s="11">
        <v>2.59474442923913</v>
      </c>
      <c r="E100" s="12">
        <v>0.5034024848852714</v>
      </c>
      <c r="F100" s="11">
        <v>0.13560003655183755</v>
      </c>
      <c r="G100" s="2" t="s">
        <v>954</v>
      </c>
      <c r="H100" s="2" t="s">
        <v>956</v>
      </c>
      <c r="I100" s="29" t="s">
        <v>0</v>
      </c>
    </row>
    <row r="101" spans="1:9">
      <c r="A101" s="17">
        <v>99</v>
      </c>
      <c r="B101" s="17">
        <v>99</v>
      </c>
      <c r="C101" s="6" t="s">
        <v>747</v>
      </c>
      <c r="D101" s="11">
        <v>2.1978407276541692</v>
      </c>
      <c r="E101" s="12">
        <v>0.38177199179034504</v>
      </c>
      <c r="F101" s="11">
        <v>0.16241760405873357</v>
      </c>
      <c r="G101" s="2" t="s">
        <v>955</v>
      </c>
      <c r="H101" s="2" t="s">
        <v>956</v>
      </c>
      <c r="I101" s="29" t="s">
        <v>0</v>
      </c>
    </row>
    <row r="102" spans="1:9">
      <c r="A102" s="17">
        <v>100</v>
      </c>
      <c r="B102" s="17">
        <v>100</v>
      </c>
      <c r="C102" s="6" t="s">
        <v>748</v>
      </c>
      <c r="D102" s="11">
        <v>2.2985345146075122</v>
      </c>
      <c r="E102" s="12">
        <v>0.21838351193099514</v>
      </c>
      <c r="F102" s="11">
        <v>0.16524301411036141</v>
      </c>
      <c r="G102" s="2" t="s">
        <v>953</v>
      </c>
      <c r="H102" s="2" t="s">
        <v>956</v>
      </c>
      <c r="I102" s="29" t="s">
        <v>0</v>
      </c>
    </row>
    <row r="103" spans="1:9">
      <c r="A103" s="17">
        <v>101</v>
      </c>
      <c r="B103" s="17">
        <v>101</v>
      </c>
      <c r="C103" s="6" t="s">
        <v>749</v>
      </c>
      <c r="D103" s="11">
        <v>2.4823111184154403</v>
      </c>
      <c r="E103" s="12">
        <v>0.326377067251713</v>
      </c>
      <c r="F103" s="11">
        <v>0.14868944252552502</v>
      </c>
      <c r="G103" s="2" t="s">
        <v>953</v>
      </c>
      <c r="H103" s="2" t="s">
        <v>956</v>
      </c>
      <c r="I103" s="29" t="s">
        <v>2</v>
      </c>
    </row>
    <row r="104" spans="1:9">
      <c r="A104" s="17">
        <v>102</v>
      </c>
      <c r="B104" s="17">
        <v>102</v>
      </c>
      <c r="C104" s="6" t="s">
        <v>750</v>
      </c>
      <c r="D104" s="11">
        <v>1.7794542026744455</v>
      </c>
      <c r="E104" s="12">
        <v>0.15307773981720674</v>
      </c>
      <c r="F104" s="11">
        <v>0.17414023597493361</v>
      </c>
      <c r="G104" s="2" t="s">
        <v>955</v>
      </c>
      <c r="H104" s="2" t="s">
        <v>958</v>
      </c>
      <c r="I104" s="29" t="s">
        <v>2</v>
      </c>
    </row>
    <row r="105" spans="1:9">
      <c r="A105" s="17">
        <v>103</v>
      </c>
      <c r="B105" s="17">
        <v>103</v>
      </c>
      <c r="C105" s="6" t="s">
        <v>751</v>
      </c>
      <c r="D105" s="11">
        <v>3.8236054495568386</v>
      </c>
      <c r="E105" s="12">
        <v>0.33106793633368214</v>
      </c>
      <c r="F105" s="11">
        <v>0.14346644512724743</v>
      </c>
      <c r="G105" s="2" t="s">
        <v>953</v>
      </c>
      <c r="H105" s="2" t="s">
        <v>956</v>
      </c>
      <c r="I105" s="29" t="s">
        <v>2</v>
      </c>
    </row>
    <row r="106" spans="1:9">
      <c r="A106" s="17">
        <v>104</v>
      </c>
      <c r="B106" s="17">
        <v>104</v>
      </c>
      <c r="C106" s="6" t="s">
        <v>752</v>
      </c>
      <c r="D106" s="11">
        <v>2.8638412650392855</v>
      </c>
      <c r="E106" s="12">
        <v>0.28268491976876975</v>
      </c>
      <c r="F106" s="11">
        <v>0.15162936949818323</v>
      </c>
      <c r="G106" s="2" t="s">
        <v>955</v>
      </c>
      <c r="H106" s="2" t="s">
        <v>956</v>
      </c>
      <c r="I106" s="29" t="s">
        <v>0</v>
      </c>
    </row>
    <row r="107" spans="1:9">
      <c r="A107" s="17">
        <v>105</v>
      </c>
      <c r="B107" s="17">
        <v>105</v>
      </c>
      <c r="C107" s="6" t="s">
        <v>753</v>
      </c>
      <c r="D107" s="11">
        <v>1.9711645013516534</v>
      </c>
      <c r="E107" s="12">
        <v>0.41731967479125887</v>
      </c>
      <c r="F107" s="11">
        <v>0.13189729210521001</v>
      </c>
      <c r="G107" s="2" t="s">
        <v>953</v>
      </c>
      <c r="H107" s="2" t="s">
        <v>958</v>
      </c>
      <c r="I107" s="29" t="s">
        <v>0</v>
      </c>
    </row>
    <row r="108" spans="1:9">
      <c r="A108" s="17">
        <v>106</v>
      </c>
      <c r="B108" s="17">
        <v>106</v>
      </c>
      <c r="C108" s="6" t="s">
        <v>754</v>
      </c>
      <c r="D108" s="11">
        <v>2.2921032093067186</v>
      </c>
      <c r="E108" s="12">
        <v>0.37150809774419757</v>
      </c>
      <c r="F108" s="11">
        <v>0.13262298760477825</v>
      </c>
      <c r="G108" s="2" t="s">
        <v>954</v>
      </c>
      <c r="H108" s="2" t="s">
        <v>956</v>
      </c>
      <c r="I108" s="29" t="s">
        <v>0</v>
      </c>
    </row>
    <row r="109" spans="1:9">
      <c r="A109" s="17">
        <v>107</v>
      </c>
      <c r="B109" s="17">
        <v>107</v>
      </c>
      <c r="C109" s="6" t="s">
        <v>755</v>
      </c>
      <c r="D109" s="11">
        <v>2.9000097780366776</v>
      </c>
      <c r="E109" s="12">
        <v>0.42003104407075442</v>
      </c>
      <c r="F109" s="11">
        <v>0.15095721796169165</v>
      </c>
      <c r="G109" s="2" t="s">
        <v>954</v>
      </c>
      <c r="H109" s="2" t="s">
        <v>958</v>
      </c>
      <c r="I109" s="29" t="s">
        <v>1</v>
      </c>
    </row>
    <row r="110" spans="1:9">
      <c r="A110" s="17">
        <v>108</v>
      </c>
      <c r="B110" s="17">
        <v>108</v>
      </c>
      <c r="C110" s="6" t="s">
        <v>756</v>
      </c>
      <c r="D110" s="11">
        <v>2.8601169558309483</v>
      </c>
      <c r="E110" s="12">
        <v>0.54138789162851753</v>
      </c>
      <c r="F110" s="11">
        <v>0.126611389750311</v>
      </c>
      <c r="G110" s="2" t="s">
        <v>954</v>
      </c>
      <c r="H110" s="2" t="s">
        <v>958</v>
      </c>
      <c r="I110" s="29" t="s">
        <v>2</v>
      </c>
    </row>
    <row r="111" spans="1:9">
      <c r="A111" s="17">
        <v>109</v>
      </c>
      <c r="B111" s="17">
        <v>109</v>
      </c>
      <c r="C111" s="6" t="s">
        <v>757</v>
      </c>
      <c r="D111" s="11">
        <v>2.4684284998287911</v>
      </c>
      <c r="E111" s="12">
        <v>0.58156844650756101</v>
      </c>
      <c r="F111" s="11">
        <v>0.14456306137103275</v>
      </c>
      <c r="G111" s="2" t="s">
        <v>954</v>
      </c>
      <c r="H111" s="2" t="s">
        <v>956</v>
      </c>
      <c r="I111" s="29" t="s">
        <v>1</v>
      </c>
    </row>
    <row r="112" spans="1:9">
      <c r="A112" s="17">
        <v>110</v>
      </c>
      <c r="B112" s="17">
        <v>110</v>
      </c>
      <c r="C112" s="6" t="s">
        <v>758</v>
      </c>
      <c r="D112" s="11">
        <v>2.2493080129929002</v>
      </c>
      <c r="E112" s="12">
        <v>0.42499233662300684</v>
      </c>
      <c r="F112" s="11">
        <v>0.12108893255853764</v>
      </c>
      <c r="G112" s="2" t="s">
        <v>954</v>
      </c>
      <c r="H112" s="2" t="s">
        <v>957</v>
      </c>
      <c r="I112" s="29" t="s">
        <v>2</v>
      </c>
    </row>
    <row r="113" spans="1:9">
      <c r="A113" s="17">
        <v>111</v>
      </c>
      <c r="B113" s="17">
        <v>111</v>
      </c>
      <c r="C113" s="6" t="s">
        <v>759</v>
      </c>
      <c r="D113" s="11">
        <v>2.6888418501543345</v>
      </c>
      <c r="E113" s="12">
        <v>0.27837908767895714</v>
      </c>
      <c r="F113" s="11">
        <v>0.12631050395779858</v>
      </c>
      <c r="G113" s="2" t="s">
        <v>955</v>
      </c>
      <c r="H113" s="2" t="s">
        <v>957</v>
      </c>
      <c r="I113" s="29" t="s">
        <v>1</v>
      </c>
    </row>
    <row r="114" spans="1:9">
      <c r="A114" s="17">
        <v>112</v>
      </c>
      <c r="B114" s="17">
        <v>112</v>
      </c>
      <c r="C114" s="6" t="s">
        <v>760</v>
      </c>
      <c r="D114" s="11">
        <v>1.9250808909195474</v>
      </c>
      <c r="E114" s="12">
        <v>0.4150086473215997</v>
      </c>
      <c r="F114" s="11">
        <v>0.14164406438394145</v>
      </c>
      <c r="G114" s="2" t="s">
        <v>954</v>
      </c>
      <c r="H114" s="2" t="s">
        <v>957</v>
      </c>
      <c r="I114" s="29" t="s">
        <v>2</v>
      </c>
    </row>
    <row r="115" spans="1:9">
      <c r="A115" s="17">
        <v>113</v>
      </c>
      <c r="B115" s="17">
        <v>113</v>
      </c>
      <c r="C115" s="6" t="s">
        <v>761</v>
      </c>
      <c r="D115" s="11">
        <v>2.7466158030942314</v>
      </c>
      <c r="E115" s="12">
        <v>0.48421760823902149</v>
      </c>
      <c r="F115" s="11">
        <v>0.15511993909112426</v>
      </c>
      <c r="G115" s="2" t="s">
        <v>953</v>
      </c>
      <c r="H115" s="2" t="s">
        <v>956</v>
      </c>
      <c r="I115" s="29" t="s">
        <v>0</v>
      </c>
    </row>
    <row r="116" spans="1:9">
      <c r="A116" s="17">
        <v>114</v>
      </c>
      <c r="B116" s="17">
        <v>114</v>
      </c>
      <c r="C116" s="6" t="s">
        <v>762</v>
      </c>
      <c r="D116" s="11">
        <v>0.91534035743772968</v>
      </c>
      <c r="E116" s="12">
        <v>0.38801106400814023</v>
      </c>
      <c r="F116" s="11">
        <v>0.10880592902876379</v>
      </c>
      <c r="G116" s="2" t="s">
        <v>953</v>
      </c>
      <c r="H116" s="2" t="s">
        <v>957</v>
      </c>
      <c r="I116" s="29" t="s">
        <v>2</v>
      </c>
    </row>
    <row r="117" spans="1:9">
      <c r="A117" s="17">
        <v>115</v>
      </c>
      <c r="B117" s="17">
        <v>115</v>
      </c>
      <c r="C117" s="6" t="s">
        <v>763</v>
      </c>
      <c r="D117" s="11">
        <v>3.9713866857122628</v>
      </c>
      <c r="E117" s="12">
        <v>0.29221107557322101</v>
      </c>
      <c r="F117" s="11">
        <v>0.16326363547531947</v>
      </c>
      <c r="G117" s="2" t="s">
        <v>954</v>
      </c>
      <c r="H117" s="2" t="s">
        <v>957</v>
      </c>
      <c r="I117" s="29" t="s">
        <v>2</v>
      </c>
    </row>
    <row r="118" spans="1:9">
      <c r="A118" s="17">
        <v>116</v>
      </c>
      <c r="B118" s="17">
        <v>116</v>
      </c>
      <c r="C118" s="6" t="s">
        <v>764</v>
      </c>
      <c r="D118" s="11">
        <v>2.115307664112537</v>
      </c>
      <c r="E118" s="12">
        <v>0.39027675239384552</v>
      </c>
      <c r="F118" s="11">
        <v>0.14955695592729717</v>
      </c>
      <c r="G118" s="2" t="s">
        <v>953</v>
      </c>
      <c r="H118" s="2" t="s">
        <v>956</v>
      </c>
      <c r="I118" s="29" t="s">
        <v>2</v>
      </c>
    </row>
    <row r="119" spans="1:9">
      <c r="A119" s="17">
        <v>117</v>
      </c>
      <c r="B119" s="17">
        <v>117</v>
      </c>
      <c r="C119" s="6" t="s">
        <v>765</v>
      </c>
      <c r="D119" s="11">
        <v>2.5796444034999002</v>
      </c>
      <c r="E119" s="12">
        <v>0.26678033735396456</v>
      </c>
      <c r="F119" s="11">
        <v>0.14020194237841316</v>
      </c>
      <c r="G119" s="2" t="s">
        <v>953</v>
      </c>
      <c r="H119" s="2" t="s">
        <v>956</v>
      </c>
      <c r="I119" s="29" t="s">
        <v>1</v>
      </c>
    </row>
    <row r="120" spans="1:9">
      <c r="A120" s="17">
        <v>118</v>
      </c>
      <c r="B120" s="17">
        <v>118</v>
      </c>
      <c r="C120" s="6" t="s">
        <v>766</v>
      </c>
      <c r="D120" s="11">
        <v>2.7072390483366906</v>
      </c>
      <c r="E120" s="12">
        <v>0.32547442823005257</v>
      </c>
      <c r="F120" s="11">
        <v>0.12342683494634549</v>
      </c>
      <c r="G120" s="2" t="s">
        <v>955</v>
      </c>
      <c r="H120" s="2" t="s">
        <v>958</v>
      </c>
      <c r="I120" s="29" t="s">
        <v>1</v>
      </c>
    </row>
    <row r="121" spans="1:9">
      <c r="A121" s="17">
        <v>119</v>
      </c>
      <c r="B121" s="17">
        <v>119</v>
      </c>
      <c r="C121" s="6" t="s">
        <v>767</v>
      </c>
      <c r="D121" s="11">
        <v>2.5318266447497297</v>
      </c>
      <c r="E121" s="12">
        <v>0.24341620981675804</v>
      </c>
      <c r="F121" s="11">
        <v>0.1493310500830794</v>
      </c>
      <c r="G121" s="2" t="s">
        <v>954</v>
      </c>
      <c r="H121" s="2" t="s">
        <v>956</v>
      </c>
      <c r="I121" s="29" t="s">
        <v>0</v>
      </c>
    </row>
    <row r="122" spans="1:9">
      <c r="A122" s="17">
        <v>120</v>
      </c>
      <c r="B122" s="17">
        <v>120</v>
      </c>
      <c r="C122" s="6" t="s">
        <v>768</v>
      </c>
      <c r="D122" s="11">
        <v>1.605959872227162</v>
      </c>
      <c r="E122" s="12">
        <v>0.36817084197326766</v>
      </c>
      <c r="F122" s="11">
        <v>0.15926853823029524</v>
      </c>
      <c r="G122" s="2" t="s">
        <v>953</v>
      </c>
      <c r="H122" s="2" t="s">
        <v>958</v>
      </c>
      <c r="I122" s="29" t="s">
        <v>2</v>
      </c>
    </row>
    <row r="123" spans="1:9">
      <c r="A123" s="17">
        <v>121</v>
      </c>
      <c r="B123" s="17">
        <v>121</v>
      </c>
      <c r="C123" s="6" t="s">
        <v>769</v>
      </c>
      <c r="D123" s="11">
        <v>2.082294169208966</v>
      </c>
      <c r="E123" s="12">
        <v>0.45361257583198311</v>
      </c>
      <c r="F123" s="11">
        <v>0.11790329675531758</v>
      </c>
      <c r="G123" s="2" t="s">
        <v>953</v>
      </c>
      <c r="H123" s="2" t="s">
        <v>956</v>
      </c>
      <c r="I123" s="29" t="s">
        <v>0</v>
      </c>
    </row>
    <row r="124" spans="1:9">
      <c r="A124" s="17">
        <v>122</v>
      </c>
      <c r="B124" s="17">
        <v>122</v>
      </c>
      <c r="C124" s="6" t="s">
        <v>770</v>
      </c>
      <c r="D124" s="11">
        <v>3.1968004369768313</v>
      </c>
      <c r="E124" s="12">
        <v>0.28242991618998348</v>
      </c>
      <c r="F124" s="11">
        <v>0.16102955501591715</v>
      </c>
      <c r="G124" s="2" t="s">
        <v>954</v>
      </c>
      <c r="H124" s="2" t="s">
        <v>958</v>
      </c>
      <c r="I124" s="29" t="s">
        <v>1</v>
      </c>
    </row>
    <row r="125" spans="1:9">
      <c r="A125" s="17">
        <v>123</v>
      </c>
      <c r="B125" s="17">
        <v>123</v>
      </c>
      <c r="C125" s="6" t="s">
        <v>771</v>
      </c>
      <c r="D125" s="11">
        <v>2.9690961180817101</v>
      </c>
      <c r="E125" s="12">
        <v>0.32061923373720491</v>
      </c>
      <c r="F125" s="11">
        <v>0.12676045264751884</v>
      </c>
      <c r="G125" s="2" t="s">
        <v>954</v>
      </c>
      <c r="H125" s="2" t="s">
        <v>957</v>
      </c>
      <c r="I125" s="29" t="s">
        <v>0</v>
      </c>
    </row>
    <row r="126" spans="1:9">
      <c r="A126" s="17">
        <v>124</v>
      </c>
      <c r="B126" s="17">
        <v>124</v>
      </c>
      <c r="C126" s="6" t="s">
        <v>772</v>
      </c>
      <c r="D126" s="11">
        <v>2.6361531153592512</v>
      </c>
      <c r="E126" s="12">
        <v>0.1392964994763024</v>
      </c>
      <c r="F126" s="11">
        <v>0.1266949716926738</v>
      </c>
      <c r="G126" s="2" t="s">
        <v>953</v>
      </c>
      <c r="H126" s="2" t="s">
        <v>958</v>
      </c>
      <c r="I126" s="29" t="s">
        <v>0</v>
      </c>
    </row>
    <row r="127" spans="1:9">
      <c r="A127" s="17">
        <v>125</v>
      </c>
      <c r="B127" s="17">
        <v>125</v>
      </c>
      <c r="C127" s="6" t="s">
        <v>773</v>
      </c>
      <c r="D127" s="11">
        <v>2.0774797854168572</v>
      </c>
      <c r="E127" s="12">
        <v>0.31234749761341662</v>
      </c>
      <c r="F127" s="11">
        <v>0.15465713341027004</v>
      </c>
      <c r="G127" s="2" t="s">
        <v>953</v>
      </c>
      <c r="H127" s="2" t="s">
        <v>958</v>
      </c>
      <c r="I127" s="29" t="s">
        <v>2</v>
      </c>
    </row>
    <row r="128" spans="1:9">
      <c r="A128" s="17">
        <v>126</v>
      </c>
      <c r="B128" s="17">
        <v>126</v>
      </c>
      <c r="C128" s="6" t="s">
        <v>774</v>
      </c>
      <c r="D128" s="11">
        <v>2.0324390893578528</v>
      </c>
      <c r="E128" s="12">
        <v>0.3732345502227763</v>
      </c>
      <c r="F128" s="11">
        <v>0.14466745829904176</v>
      </c>
      <c r="G128" s="2" t="s">
        <v>955</v>
      </c>
      <c r="H128" s="2" t="s">
        <v>957</v>
      </c>
      <c r="I128" s="29" t="s">
        <v>0</v>
      </c>
    </row>
    <row r="129" spans="1:9">
      <c r="A129" s="17">
        <v>127</v>
      </c>
      <c r="B129" s="17">
        <v>127</v>
      </c>
      <c r="C129" s="6" t="s">
        <v>775</v>
      </c>
      <c r="D129" s="11">
        <v>2.7552899132710298</v>
      </c>
      <c r="E129" s="12">
        <v>0.42964500119768489</v>
      </c>
      <c r="F129" s="11">
        <v>0.13158037532375239</v>
      </c>
      <c r="G129" s="2" t="s">
        <v>955</v>
      </c>
      <c r="H129" s="2" t="s">
        <v>956</v>
      </c>
      <c r="I129" s="29" t="s">
        <v>0</v>
      </c>
    </row>
    <row r="130" spans="1:9">
      <c r="A130" s="17">
        <v>128</v>
      </c>
      <c r="B130" s="17">
        <v>128</v>
      </c>
      <c r="C130" s="6" t="s">
        <v>776</v>
      </c>
      <c r="D130" s="11">
        <v>3.4031869932145344</v>
      </c>
      <c r="E130" s="12">
        <v>0.27107351132389157</v>
      </c>
      <c r="F130" s="11">
        <v>0.17333505253017939</v>
      </c>
      <c r="G130" s="2" t="s">
        <v>955</v>
      </c>
      <c r="H130" s="2" t="s">
        <v>958</v>
      </c>
      <c r="I130" s="29" t="s">
        <v>0</v>
      </c>
    </row>
    <row r="131" spans="1:9">
      <c r="A131" s="17">
        <v>129</v>
      </c>
      <c r="B131" s="17">
        <v>129</v>
      </c>
      <c r="C131" s="6" t="s">
        <v>777</v>
      </c>
      <c r="D131" s="11">
        <v>2.4441531182450706</v>
      </c>
      <c r="E131" s="12">
        <v>0.54505230226158163</v>
      </c>
      <c r="F131" s="11">
        <v>0.12756508409265371</v>
      </c>
      <c r="G131" s="2" t="s">
        <v>954</v>
      </c>
      <c r="H131" s="2" t="s">
        <v>956</v>
      </c>
      <c r="I131" s="29" t="s">
        <v>0</v>
      </c>
    </row>
    <row r="132" spans="1:9">
      <c r="A132" s="17">
        <v>130</v>
      </c>
      <c r="B132" s="17">
        <v>130</v>
      </c>
      <c r="C132" s="6" t="s">
        <v>778</v>
      </c>
      <c r="D132" s="11">
        <v>2.6050907057428265</v>
      </c>
      <c r="E132" s="12">
        <v>0.23414448222200734</v>
      </c>
      <c r="F132" s="11">
        <v>9.2173260498471798E-2</v>
      </c>
      <c r="G132" s="2" t="s">
        <v>954</v>
      </c>
      <c r="H132" s="2" t="s">
        <v>956</v>
      </c>
      <c r="I132" s="29" t="s">
        <v>0</v>
      </c>
    </row>
    <row r="133" spans="1:9">
      <c r="A133" s="17">
        <v>131</v>
      </c>
      <c r="B133" s="17">
        <v>131</v>
      </c>
      <c r="C133" s="6" t="s">
        <v>779</v>
      </c>
      <c r="D133" s="11">
        <v>2.7832922989322686</v>
      </c>
      <c r="E133" s="12">
        <v>0.34981092952210746</v>
      </c>
      <c r="F133" s="11">
        <v>0.1584701627808463</v>
      </c>
      <c r="G133" s="2" t="s">
        <v>954</v>
      </c>
      <c r="H133" s="2" t="s">
        <v>958</v>
      </c>
      <c r="I133" s="29" t="s">
        <v>1</v>
      </c>
    </row>
    <row r="134" spans="1:9">
      <c r="A134" s="17">
        <v>132</v>
      </c>
      <c r="B134" s="17">
        <v>132</v>
      </c>
      <c r="C134" s="6" t="s">
        <v>780</v>
      </c>
      <c r="D134" s="11">
        <v>3.1521100739113752</v>
      </c>
      <c r="E134" s="12">
        <v>0.67212693764548748</v>
      </c>
      <c r="F134" s="11">
        <v>0.12499041986811427</v>
      </c>
      <c r="G134" s="2" t="s">
        <v>955</v>
      </c>
      <c r="H134" s="2" t="s">
        <v>956</v>
      </c>
      <c r="I134" s="29" t="s">
        <v>2</v>
      </c>
    </row>
    <row r="135" spans="1:9">
      <c r="A135" s="17">
        <v>133</v>
      </c>
      <c r="B135" s="17">
        <v>133</v>
      </c>
      <c r="C135" s="6" t="s">
        <v>781</v>
      </c>
      <c r="D135" s="11">
        <v>2.5612829123341943</v>
      </c>
      <c r="E135" s="12">
        <v>0.35511330086836823</v>
      </c>
      <c r="F135" s="11">
        <v>0.11196755284854226</v>
      </c>
      <c r="G135" s="2" t="s">
        <v>954</v>
      </c>
      <c r="H135" s="2" t="s">
        <v>958</v>
      </c>
      <c r="I135" s="29" t="s">
        <v>2</v>
      </c>
    </row>
    <row r="136" spans="1:9">
      <c r="A136" s="17">
        <v>134</v>
      </c>
      <c r="B136" s="17">
        <v>134</v>
      </c>
      <c r="C136" s="6" t="s">
        <v>782</v>
      </c>
      <c r="D136" s="11">
        <v>2.7189826145108089</v>
      </c>
      <c r="E136" s="12">
        <v>0.3655670667127997</v>
      </c>
      <c r="F136" s="11">
        <v>0.15363846411273335</v>
      </c>
      <c r="G136" s="2" t="s">
        <v>955</v>
      </c>
      <c r="H136" s="2" t="s">
        <v>957</v>
      </c>
      <c r="I136" s="29" t="s">
        <v>1</v>
      </c>
    </row>
    <row r="137" spans="1:9">
      <c r="A137" s="17">
        <v>135</v>
      </c>
      <c r="B137" s="17">
        <v>135</v>
      </c>
      <c r="C137" s="6" t="s">
        <v>783</v>
      </c>
      <c r="D137" s="11">
        <v>1.8373979323727543</v>
      </c>
      <c r="E137" s="12">
        <v>0.21987210682954172</v>
      </c>
      <c r="F137" s="11">
        <v>0.12060717489075251</v>
      </c>
      <c r="G137" s="2" t="s">
        <v>955</v>
      </c>
      <c r="H137" s="2" t="s">
        <v>958</v>
      </c>
      <c r="I137" s="29" t="s">
        <v>1</v>
      </c>
    </row>
    <row r="138" spans="1:9">
      <c r="A138" s="17">
        <v>136</v>
      </c>
      <c r="B138" s="17">
        <v>136</v>
      </c>
      <c r="C138" s="6" t="s">
        <v>784</v>
      </c>
      <c r="D138" s="11">
        <v>2.5133512953611206</v>
      </c>
      <c r="E138" s="12">
        <v>0.40407421814296685</v>
      </c>
      <c r="F138" s="11">
        <v>0.12727850429027604</v>
      </c>
      <c r="G138" s="2" t="s">
        <v>953</v>
      </c>
      <c r="H138" s="2" t="s">
        <v>956</v>
      </c>
      <c r="I138" s="29" t="s">
        <v>0</v>
      </c>
    </row>
    <row r="139" spans="1:9">
      <c r="A139" s="17">
        <v>137</v>
      </c>
      <c r="B139" s="17">
        <v>137</v>
      </c>
      <c r="C139" s="6" t="s">
        <v>785</v>
      </c>
      <c r="D139" s="11">
        <v>2.0087404097788966</v>
      </c>
      <c r="E139" s="12">
        <v>0.35909255346513236</v>
      </c>
      <c r="F139" s="11">
        <v>0.1400908754550037</v>
      </c>
      <c r="G139" s="2" t="s">
        <v>955</v>
      </c>
      <c r="H139" s="2" t="s">
        <v>957</v>
      </c>
      <c r="I139" s="29" t="s">
        <v>1</v>
      </c>
    </row>
    <row r="140" spans="1:9">
      <c r="A140" s="17">
        <v>138</v>
      </c>
      <c r="B140" s="17">
        <v>138</v>
      </c>
      <c r="C140" s="6" t="s">
        <v>786</v>
      </c>
      <c r="D140" s="11">
        <v>3.8161676106168887</v>
      </c>
      <c r="E140" s="12">
        <v>0.37831620998775906</v>
      </c>
      <c r="F140" s="11">
        <v>0.12509849679358559</v>
      </c>
      <c r="G140" s="2" t="s">
        <v>955</v>
      </c>
      <c r="H140" s="2" t="s">
        <v>956</v>
      </c>
      <c r="I140" s="29" t="s">
        <v>0</v>
      </c>
    </row>
    <row r="141" spans="1:9">
      <c r="A141" s="17">
        <v>139</v>
      </c>
      <c r="B141" s="17">
        <v>139</v>
      </c>
      <c r="C141" s="6" t="s">
        <v>787</v>
      </c>
      <c r="D141" s="11">
        <v>2.5299631427109706</v>
      </c>
      <c r="E141" s="12">
        <v>0.34273711183476552</v>
      </c>
      <c r="F141" s="11">
        <v>0.13671006178637618</v>
      </c>
      <c r="G141" s="2" t="s">
        <v>954</v>
      </c>
      <c r="H141" s="2" t="s">
        <v>958</v>
      </c>
      <c r="I141" s="29" t="s">
        <v>1</v>
      </c>
    </row>
    <row r="142" spans="1:9">
      <c r="A142" s="17">
        <v>140</v>
      </c>
      <c r="B142" s="17">
        <v>140</v>
      </c>
      <c r="C142" s="6" t="s">
        <v>788</v>
      </c>
      <c r="D142" s="11">
        <v>2.5161761919802519</v>
      </c>
      <c r="E142" s="12">
        <v>0.4503309007147327</v>
      </c>
      <c r="F142" s="11">
        <v>0.11100233551414568</v>
      </c>
      <c r="G142" s="2" t="s">
        <v>955</v>
      </c>
      <c r="H142" s="2" t="s">
        <v>958</v>
      </c>
      <c r="I142" s="29" t="s">
        <v>0</v>
      </c>
    </row>
    <row r="143" spans="1:9">
      <c r="A143" s="17">
        <v>141</v>
      </c>
      <c r="B143" s="17">
        <v>141</v>
      </c>
      <c r="C143" s="6" t="s">
        <v>789</v>
      </c>
      <c r="D143" s="11">
        <v>3.4794652653867377</v>
      </c>
      <c r="E143" s="12">
        <v>0.37979042065916291</v>
      </c>
      <c r="F143" s="11">
        <v>0.11975369147930542</v>
      </c>
      <c r="G143" s="2" t="s">
        <v>953</v>
      </c>
      <c r="H143" s="2" t="s">
        <v>956</v>
      </c>
      <c r="I143" s="29" t="s">
        <v>2</v>
      </c>
    </row>
    <row r="144" spans="1:9">
      <c r="A144" s="17">
        <v>142</v>
      </c>
      <c r="B144" s="17">
        <v>142</v>
      </c>
      <c r="C144" s="6" t="s">
        <v>790</v>
      </c>
      <c r="D144" s="11">
        <v>2.113838960408815</v>
      </c>
      <c r="E144" s="12">
        <v>0.38637770624762924</v>
      </c>
      <c r="F144" s="11">
        <v>0.12104969458559572</v>
      </c>
      <c r="G144" s="2" t="s">
        <v>955</v>
      </c>
      <c r="H144" s="2" t="s">
        <v>957</v>
      </c>
      <c r="I144" s="29" t="s">
        <v>2</v>
      </c>
    </row>
    <row r="145" spans="1:9">
      <c r="A145" s="17">
        <v>143</v>
      </c>
      <c r="B145" s="17">
        <v>143</v>
      </c>
      <c r="C145" s="6" t="s">
        <v>791</v>
      </c>
      <c r="D145" s="11">
        <v>2.7081694519214796</v>
      </c>
      <c r="E145" s="12">
        <v>0.52192292531134443</v>
      </c>
      <c r="F145" s="11">
        <v>0.10465958388803848</v>
      </c>
      <c r="G145" s="2" t="s">
        <v>955</v>
      </c>
      <c r="H145" s="2" t="s">
        <v>957</v>
      </c>
      <c r="I145" s="29" t="s">
        <v>2</v>
      </c>
    </row>
    <row r="146" spans="1:9">
      <c r="A146" s="17">
        <v>144</v>
      </c>
      <c r="B146" s="17">
        <v>144</v>
      </c>
      <c r="C146" s="6" t="s">
        <v>792</v>
      </c>
      <c r="D146" s="11">
        <v>2.2576513279777135</v>
      </c>
      <c r="E146" s="12">
        <v>0.22091651679392088</v>
      </c>
      <c r="F146" s="11">
        <v>0.14036073426891199</v>
      </c>
      <c r="G146" s="2" t="s">
        <v>953</v>
      </c>
      <c r="H146" s="2" t="s">
        <v>956</v>
      </c>
      <c r="I146" s="29" t="s">
        <v>0</v>
      </c>
    </row>
    <row r="147" spans="1:9">
      <c r="A147" s="17">
        <v>145</v>
      </c>
      <c r="B147" s="17">
        <v>145</v>
      </c>
      <c r="C147" s="6" t="s">
        <v>793</v>
      </c>
      <c r="D147" s="11">
        <v>3.0843718421742086</v>
      </c>
      <c r="E147" s="12">
        <v>0.27217914055899017</v>
      </c>
      <c r="F147" s="11">
        <v>0.14774968617357082</v>
      </c>
      <c r="G147" s="2" t="s">
        <v>955</v>
      </c>
      <c r="H147" s="2" t="s">
        <v>957</v>
      </c>
      <c r="I147" s="29" t="s">
        <v>2</v>
      </c>
    </row>
    <row r="148" spans="1:9">
      <c r="A148" s="17">
        <v>146</v>
      </c>
      <c r="B148" s="17">
        <v>146</v>
      </c>
      <c r="C148" s="6" t="s">
        <v>794</v>
      </c>
      <c r="D148" s="11">
        <v>2.7559548722414764</v>
      </c>
      <c r="E148" s="12">
        <v>0.3739976047042437</v>
      </c>
      <c r="F148" s="11">
        <v>0.12301301923170832</v>
      </c>
      <c r="G148" s="2" t="s">
        <v>954</v>
      </c>
      <c r="H148" s="2" t="s">
        <v>957</v>
      </c>
      <c r="I148" s="29" t="s">
        <v>1</v>
      </c>
    </row>
    <row r="149" spans="1:9">
      <c r="A149" s="17">
        <v>147</v>
      </c>
      <c r="B149" s="17">
        <v>147</v>
      </c>
      <c r="C149" s="6" t="s">
        <v>795</v>
      </c>
      <c r="D149" s="11">
        <v>3.5830290880179962</v>
      </c>
      <c r="E149" s="12">
        <v>0.29640309965788036</v>
      </c>
      <c r="F149" s="11">
        <v>0.1331664772299937</v>
      </c>
      <c r="G149" s="2" t="s">
        <v>953</v>
      </c>
      <c r="H149" s="2" t="s">
        <v>958</v>
      </c>
      <c r="I149" s="29" t="s">
        <v>2</v>
      </c>
    </row>
    <row r="150" spans="1:9">
      <c r="A150" s="17">
        <v>148</v>
      </c>
      <c r="B150" s="17">
        <v>148</v>
      </c>
      <c r="C150" s="6" t="s">
        <v>796</v>
      </c>
      <c r="D150" s="11">
        <v>2.8782338876184657</v>
      </c>
      <c r="E150" s="12">
        <v>0.46552616812067571</v>
      </c>
      <c r="F150" s="11">
        <v>0.11638612580154223</v>
      </c>
      <c r="G150" s="2" t="s">
        <v>953</v>
      </c>
      <c r="H150" s="2" t="s">
        <v>956</v>
      </c>
      <c r="I150" s="29" t="s">
        <v>1</v>
      </c>
    </row>
    <row r="151" spans="1:9">
      <c r="A151" s="17">
        <v>149</v>
      </c>
      <c r="B151" s="17">
        <v>149</v>
      </c>
      <c r="C151" s="6" t="s">
        <v>797</v>
      </c>
      <c r="D151" s="11">
        <v>2.5372338997616897</v>
      </c>
      <c r="E151" s="12">
        <v>0.2532274034662696</v>
      </c>
      <c r="F151" s="11">
        <v>0.13508874690441736</v>
      </c>
      <c r="G151" s="2" t="s">
        <v>953</v>
      </c>
      <c r="H151" s="2" t="s">
        <v>957</v>
      </c>
      <c r="I151" s="29" t="s">
        <v>0</v>
      </c>
    </row>
    <row r="152" spans="1:9">
      <c r="A152" s="17">
        <v>150</v>
      </c>
      <c r="B152" s="17">
        <v>150</v>
      </c>
      <c r="C152" s="6" t="s">
        <v>798</v>
      </c>
      <c r="D152" s="11">
        <v>3.4189223343632182</v>
      </c>
      <c r="E152" s="12">
        <v>0.47035029268289508</v>
      </c>
      <c r="F152" s="11">
        <v>0.15265875678832891</v>
      </c>
      <c r="G152" s="2" t="s">
        <v>954</v>
      </c>
      <c r="H152" s="2" t="s">
        <v>958</v>
      </c>
      <c r="I152" s="29" t="s">
        <v>0</v>
      </c>
    </row>
    <row r="153" spans="1:9">
      <c r="A153" s="17">
        <v>151</v>
      </c>
      <c r="B153" s="17">
        <v>151</v>
      </c>
      <c r="C153" s="6" t="s">
        <v>799</v>
      </c>
      <c r="D153" s="11">
        <v>2.3690929269427432</v>
      </c>
      <c r="E153" s="12">
        <v>0.19134254578847321</v>
      </c>
      <c r="F153" s="11">
        <v>0.14043619721687356</v>
      </c>
      <c r="G153" s="2" t="s">
        <v>954</v>
      </c>
      <c r="H153" s="2" t="s">
        <v>958</v>
      </c>
      <c r="I153" s="29" t="s">
        <v>0</v>
      </c>
    </row>
    <row r="154" spans="1:9">
      <c r="A154" s="17">
        <v>152</v>
      </c>
      <c r="B154" s="17">
        <v>152</v>
      </c>
      <c r="C154" s="6" t="s">
        <v>800</v>
      </c>
      <c r="D154" s="11">
        <v>3.0001032828799215</v>
      </c>
      <c r="E154" s="12">
        <v>0.37317229528770257</v>
      </c>
      <c r="F154" s="11">
        <v>0.15806416706081655</v>
      </c>
      <c r="G154" s="2" t="s">
        <v>953</v>
      </c>
      <c r="H154" s="2" t="s">
        <v>956</v>
      </c>
      <c r="I154" s="29" t="s">
        <v>1</v>
      </c>
    </row>
    <row r="155" spans="1:9">
      <c r="A155" s="17">
        <v>153</v>
      </c>
      <c r="B155" s="17">
        <v>153</v>
      </c>
      <c r="C155" s="6" t="s">
        <v>801</v>
      </c>
      <c r="D155" s="11">
        <v>2.8094628472676266</v>
      </c>
      <c r="E155" s="12">
        <v>0.24717659201331843</v>
      </c>
      <c r="F155" s="11">
        <v>0.12454192017739479</v>
      </c>
      <c r="G155" s="2" t="s">
        <v>954</v>
      </c>
      <c r="H155" s="2" t="s">
        <v>957</v>
      </c>
      <c r="I155" s="29" t="s">
        <v>1</v>
      </c>
    </row>
    <row r="156" spans="1:9">
      <c r="A156" s="17">
        <v>154</v>
      </c>
      <c r="B156" s="17">
        <v>154</v>
      </c>
      <c r="C156" s="6" t="s">
        <v>802</v>
      </c>
      <c r="D156" s="11">
        <v>2.4774441846742992</v>
      </c>
      <c r="E156" s="12">
        <v>0.47686324058548779</v>
      </c>
      <c r="F156" s="11">
        <v>0.11988789638675917</v>
      </c>
      <c r="G156" s="2" t="s">
        <v>954</v>
      </c>
      <c r="H156" s="2" t="s">
        <v>957</v>
      </c>
      <c r="I156" s="29" t="s">
        <v>0</v>
      </c>
    </row>
    <row r="157" spans="1:9">
      <c r="A157" s="17">
        <v>155</v>
      </c>
      <c r="B157" s="17">
        <v>155</v>
      </c>
      <c r="C157" s="6" t="s">
        <v>803</v>
      </c>
      <c r="D157" s="11">
        <v>1.7674876360755878</v>
      </c>
      <c r="E157" s="12">
        <v>0.35894537405300797</v>
      </c>
      <c r="F157" s="11">
        <v>0.14388621783777672</v>
      </c>
      <c r="G157" s="2" t="s">
        <v>955</v>
      </c>
      <c r="H157" s="2" t="s">
        <v>956</v>
      </c>
      <c r="I157" s="29" t="s">
        <v>2</v>
      </c>
    </row>
    <row r="158" spans="1:9">
      <c r="A158" s="17">
        <v>156</v>
      </c>
      <c r="B158" s="17">
        <v>156</v>
      </c>
      <c r="C158" s="6" t="s">
        <v>804</v>
      </c>
      <c r="D158" s="11">
        <v>2.7194495005964416</v>
      </c>
      <c r="E158" s="12">
        <v>0.37671242619825351</v>
      </c>
      <c r="F158" s="11">
        <v>0.12775225796358064</v>
      </c>
      <c r="G158" s="2" t="s">
        <v>953</v>
      </c>
      <c r="H158" s="2" t="s">
        <v>958</v>
      </c>
      <c r="I158" s="29" t="s">
        <v>0</v>
      </c>
    </row>
    <row r="159" spans="1:9">
      <c r="A159" s="17">
        <v>157</v>
      </c>
      <c r="B159" s="17">
        <v>157</v>
      </c>
      <c r="C159" s="6" t="s">
        <v>805</v>
      </c>
      <c r="D159" s="11">
        <v>3.1444256544413509</v>
      </c>
      <c r="E159" s="12">
        <v>0.43623228678615122</v>
      </c>
      <c r="F159" s="11">
        <v>0.14692828773999828</v>
      </c>
      <c r="G159" s="2" t="s">
        <v>954</v>
      </c>
      <c r="H159" s="2" t="s">
        <v>958</v>
      </c>
      <c r="I159" s="29" t="s">
        <v>2</v>
      </c>
    </row>
    <row r="160" spans="1:9">
      <c r="A160" s="17">
        <v>158</v>
      </c>
      <c r="B160" s="17">
        <v>158</v>
      </c>
      <c r="C160" s="6" t="s">
        <v>806</v>
      </c>
      <c r="D160" s="11">
        <v>3.189756048937328</v>
      </c>
      <c r="E160" s="12">
        <v>0.48674554985399299</v>
      </c>
      <c r="F160" s="11">
        <v>0.12317553711963775</v>
      </c>
      <c r="G160" s="2" t="s">
        <v>955</v>
      </c>
      <c r="H160" s="2" t="s">
        <v>958</v>
      </c>
      <c r="I160" s="29" t="s">
        <v>1</v>
      </c>
    </row>
    <row r="161" spans="1:9">
      <c r="A161" s="17">
        <v>159</v>
      </c>
      <c r="B161" s="17">
        <v>159</v>
      </c>
      <c r="C161" s="6" t="s">
        <v>807</v>
      </c>
      <c r="D161" s="11">
        <v>1.652777834511129</v>
      </c>
      <c r="E161" s="12">
        <v>0.41028383146357372</v>
      </c>
      <c r="F161" s="11">
        <v>0.12931887888325583</v>
      </c>
      <c r="G161" s="2" t="s">
        <v>954</v>
      </c>
      <c r="H161" s="2" t="s">
        <v>957</v>
      </c>
      <c r="I161" s="29" t="s">
        <v>2</v>
      </c>
    </row>
    <row r="162" spans="1:9">
      <c r="A162" s="17">
        <v>160</v>
      </c>
      <c r="B162" s="17">
        <v>160</v>
      </c>
      <c r="C162" s="6" t="s">
        <v>808</v>
      </c>
      <c r="D162" s="11">
        <v>3.1301805759498382</v>
      </c>
      <c r="E162" s="12">
        <v>0.12745034044445491</v>
      </c>
      <c r="F162" s="11">
        <v>0.11224364465815234</v>
      </c>
      <c r="G162" s="2" t="s">
        <v>955</v>
      </c>
      <c r="H162" s="2" t="s">
        <v>957</v>
      </c>
      <c r="I162" s="29" t="s">
        <v>0</v>
      </c>
    </row>
    <row r="163" spans="1:9">
      <c r="A163" s="17">
        <v>161</v>
      </c>
      <c r="B163" s="17">
        <v>161</v>
      </c>
      <c r="C163" s="6" t="s">
        <v>809</v>
      </c>
      <c r="D163" s="11">
        <v>2.2258188594927777</v>
      </c>
      <c r="E163" s="12">
        <v>0.46655331701248359</v>
      </c>
      <c r="F163" s="11">
        <v>0.16826125602901448</v>
      </c>
      <c r="G163" s="2" t="s">
        <v>953</v>
      </c>
      <c r="H163" s="2" t="s">
        <v>958</v>
      </c>
      <c r="I163" s="29" t="s">
        <v>2</v>
      </c>
    </row>
    <row r="164" spans="1:9">
      <c r="A164" s="17">
        <v>162</v>
      </c>
      <c r="B164" s="17">
        <v>162</v>
      </c>
      <c r="C164" s="6" t="s">
        <v>810</v>
      </c>
      <c r="D164" s="11">
        <v>2.3787392111766383</v>
      </c>
      <c r="E164" s="12">
        <v>0.37688434648106339</v>
      </c>
      <c r="F164" s="11">
        <v>0.13021781026336249</v>
      </c>
      <c r="G164" s="2" t="s">
        <v>954</v>
      </c>
      <c r="H164" s="2" t="s">
        <v>956</v>
      </c>
      <c r="I164" s="29" t="s">
        <v>0</v>
      </c>
    </row>
    <row r="165" spans="1:9">
      <c r="A165" s="17">
        <v>163</v>
      </c>
      <c r="B165" s="17">
        <v>163</v>
      </c>
      <c r="C165" s="6" t="s">
        <v>811</v>
      </c>
      <c r="D165" s="11">
        <v>1.9399848649258491</v>
      </c>
      <c r="E165" s="12">
        <v>0.26823026744995149</v>
      </c>
      <c r="F165" s="11">
        <v>0.10470650385568298</v>
      </c>
      <c r="G165" s="2" t="s">
        <v>954</v>
      </c>
      <c r="H165" s="2" t="s">
        <v>956</v>
      </c>
      <c r="I165" s="29" t="s">
        <v>0</v>
      </c>
    </row>
    <row r="166" spans="1:9">
      <c r="A166" s="17">
        <v>164</v>
      </c>
      <c r="B166" s="17">
        <v>164</v>
      </c>
      <c r="C166" s="6" t="s">
        <v>812</v>
      </c>
      <c r="D166" s="11">
        <v>3.9048449758915229</v>
      </c>
      <c r="E166" s="12">
        <v>0.33503211426040069</v>
      </c>
      <c r="F166" s="11">
        <v>7.5507655990892097E-2</v>
      </c>
      <c r="G166" s="2" t="s">
        <v>954</v>
      </c>
      <c r="H166" s="2" t="s">
        <v>956</v>
      </c>
      <c r="I166" s="29" t="s">
        <v>2</v>
      </c>
    </row>
    <row r="167" spans="1:9">
      <c r="A167" s="17">
        <v>165</v>
      </c>
      <c r="B167" s="17">
        <v>165</v>
      </c>
      <c r="C167" s="6" t="s">
        <v>813</v>
      </c>
      <c r="D167" s="11">
        <v>2.6549673445473889</v>
      </c>
      <c r="E167" s="12">
        <v>0.2291484373769781</v>
      </c>
      <c r="F167" s="11">
        <v>0.16380873509942467</v>
      </c>
      <c r="G167" s="2" t="s">
        <v>955</v>
      </c>
      <c r="H167" s="2" t="s">
        <v>957</v>
      </c>
      <c r="I167" s="29" t="s">
        <v>1</v>
      </c>
    </row>
    <row r="168" spans="1:9">
      <c r="A168" s="17">
        <v>166</v>
      </c>
      <c r="B168" s="17">
        <v>166</v>
      </c>
      <c r="C168" s="6" t="s">
        <v>814</v>
      </c>
      <c r="D168" s="11">
        <v>2.2664514232887303</v>
      </c>
      <c r="E168" s="12">
        <v>0.41263709102412394</v>
      </c>
      <c r="F168" s="11">
        <v>0.14773579418315058</v>
      </c>
      <c r="G168" s="2" t="s">
        <v>954</v>
      </c>
      <c r="H168" s="2" t="s">
        <v>956</v>
      </c>
      <c r="I168" s="29" t="s">
        <v>2</v>
      </c>
    </row>
    <row r="169" spans="1:9">
      <c r="A169" s="17">
        <v>167</v>
      </c>
      <c r="B169" s="17">
        <v>167</v>
      </c>
      <c r="C169" s="6" t="s">
        <v>815</v>
      </c>
      <c r="D169" s="11">
        <v>3.5486398623974527</v>
      </c>
      <c r="E169" s="12">
        <v>0.17944437339127761</v>
      </c>
      <c r="F169" s="11">
        <v>0.14543991276636553</v>
      </c>
      <c r="G169" s="2" t="s">
        <v>955</v>
      </c>
      <c r="H169" s="2" t="s">
        <v>957</v>
      </c>
      <c r="I169" s="29" t="s">
        <v>0</v>
      </c>
    </row>
    <row r="170" spans="1:9">
      <c r="A170" s="17">
        <v>168</v>
      </c>
      <c r="B170" s="17">
        <v>168</v>
      </c>
      <c r="C170" s="6" t="s">
        <v>816</v>
      </c>
      <c r="D170" s="11">
        <v>1.9118746844973646</v>
      </c>
      <c r="E170" s="12">
        <v>0.33654936253941559</v>
      </c>
      <c r="F170" s="11">
        <v>0.10884176300405307</v>
      </c>
      <c r="G170" s="2" t="s">
        <v>955</v>
      </c>
      <c r="H170" s="2" t="s">
        <v>957</v>
      </c>
      <c r="I170" s="29" t="s">
        <v>0</v>
      </c>
    </row>
    <row r="171" spans="1:9">
      <c r="A171" s="17">
        <v>169</v>
      </c>
      <c r="B171" s="17">
        <v>169</v>
      </c>
      <c r="C171" s="6" t="s">
        <v>817</v>
      </c>
      <c r="D171" s="11">
        <v>2.2845164788445107</v>
      </c>
      <c r="E171" s="12">
        <v>0.28079310621495823</v>
      </c>
      <c r="F171" s="11">
        <v>0.15001920960853204</v>
      </c>
      <c r="G171" s="2" t="s">
        <v>955</v>
      </c>
      <c r="H171" s="2" t="s">
        <v>957</v>
      </c>
      <c r="I171" s="29" t="s">
        <v>2</v>
      </c>
    </row>
    <row r="172" spans="1:9">
      <c r="A172" s="17">
        <v>170</v>
      </c>
      <c r="B172" s="17">
        <v>170</v>
      </c>
      <c r="C172" s="6" t="s">
        <v>818</v>
      </c>
      <c r="D172" s="11">
        <v>3.0231484566824509</v>
      </c>
      <c r="E172" s="12">
        <v>0.29990180399426025</v>
      </c>
      <c r="F172" s="11">
        <v>0.14119625469274616</v>
      </c>
      <c r="G172" s="2" t="s">
        <v>954</v>
      </c>
      <c r="H172" s="2" t="s">
        <v>957</v>
      </c>
      <c r="I172" s="29" t="s">
        <v>2</v>
      </c>
    </row>
    <row r="173" spans="1:9">
      <c r="A173" s="17">
        <v>171</v>
      </c>
      <c r="B173" s="17">
        <v>171</v>
      </c>
      <c r="C173" s="6" t="s">
        <v>819</v>
      </c>
      <c r="D173" s="11">
        <v>2.2897155552122275</v>
      </c>
      <c r="E173" s="12">
        <v>0.37811264440523518</v>
      </c>
      <c r="F173" s="11">
        <v>0.13600506627253345</v>
      </c>
      <c r="G173" s="2" t="s">
        <v>955</v>
      </c>
      <c r="H173" s="2" t="s">
        <v>956</v>
      </c>
      <c r="I173" s="29" t="s">
        <v>0</v>
      </c>
    </row>
    <row r="174" spans="1:9">
      <c r="A174" s="17">
        <v>172</v>
      </c>
      <c r="B174" s="17">
        <v>172</v>
      </c>
      <c r="C174" s="6" t="s">
        <v>820</v>
      </c>
      <c r="D174" s="11">
        <v>2.6836272782888262</v>
      </c>
      <c r="E174" s="12">
        <v>0.52411116901811328</v>
      </c>
      <c r="F174" s="11">
        <v>0.1308810608059921</v>
      </c>
      <c r="G174" s="2" t="s">
        <v>953</v>
      </c>
      <c r="H174" s="2" t="s">
        <v>956</v>
      </c>
      <c r="I174" s="29" t="s">
        <v>2</v>
      </c>
    </row>
    <row r="175" spans="1:9">
      <c r="A175" s="17">
        <v>173</v>
      </c>
      <c r="B175" s="17">
        <v>173</v>
      </c>
      <c r="C175" s="6" t="s">
        <v>821</v>
      </c>
      <c r="D175" s="11">
        <v>2.8363010494426124</v>
      </c>
      <c r="E175" s="12">
        <v>0.36373175440320482</v>
      </c>
      <c r="F175" s="11">
        <v>0.13007974135857331</v>
      </c>
      <c r="G175" s="2" t="s">
        <v>953</v>
      </c>
      <c r="H175" s="2" t="s">
        <v>958</v>
      </c>
      <c r="I175" s="29" t="s">
        <v>1</v>
      </c>
    </row>
    <row r="176" spans="1:9">
      <c r="A176" s="17">
        <v>174</v>
      </c>
      <c r="B176" s="17">
        <v>174</v>
      </c>
      <c r="C176" s="6" t="s">
        <v>822</v>
      </c>
      <c r="D176" s="11">
        <v>2.9852666806031483</v>
      </c>
      <c r="E176" s="12">
        <v>0.40938752150185609</v>
      </c>
      <c r="F176" s="11">
        <v>0.13167828625623407</v>
      </c>
      <c r="G176" s="2" t="s">
        <v>955</v>
      </c>
      <c r="H176" s="2" t="s">
        <v>957</v>
      </c>
      <c r="I176" s="29" t="s">
        <v>2</v>
      </c>
    </row>
    <row r="177" spans="1:9">
      <c r="A177" s="17">
        <v>175</v>
      </c>
      <c r="B177" s="17">
        <v>175</v>
      </c>
      <c r="C177" s="6" t="s">
        <v>823</v>
      </c>
      <c r="D177" s="11">
        <v>3.3253564763939938</v>
      </c>
      <c r="E177" s="12">
        <v>0.25244352062389952</v>
      </c>
      <c r="F177" s="11">
        <v>0.15241541695613342</v>
      </c>
      <c r="G177" s="2" t="s">
        <v>954</v>
      </c>
      <c r="H177" s="2" t="s">
        <v>958</v>
      </c>
      <c r="I177" s="29" t="s">
        <v>0</v>
      </c>
    </row>
    <row r="178" spans="1:9">
      <c r="A178" s="17">
        <v>176</v>
      </c>
      <c r="B178" s="17">
        <v>176</v>
      </c>
      <c r="C178" s="6" t="s">
        <v>824</v>
      </c>
      <c r="D178" s="11">
        <v>2.0540357709755188</v>
      </c>
      <c r="E178" s="12">
        <v>0.42110514307995617</v>
      </c>
      <c r="F178" s="11">
        <v>0.14157361543252228</v>
      </c>
      <c r="G178" s="2" t="s">
        <v>954</v>
      </c>
      <c r="H178" s="2" t="s">
        <v>956</v>
      </c>
      <c r="I178" s="29" t="s">
        <v>2</v>
      </c>
    </row>
    <row r="179" spans="1:9">
      <c r="A179" s="17">
        <v>177</v>
      </c>
      <c r="B179" s="17">
        <v>177</v>
      </c>
      <c r="C179" s="6" t="s">
        <v>825</v>
      </c>
      <c r="D179" s="11">
        <v>3.4890509150640572</v>
      </c>
      <c r="E179" s="12">
        <v>0.47655760452715912</v>
      </c>
      <c r="F179" s="11">
        <v>0.10708810621335579</v>
      </c>
      <c r="G179" s="2" t="s">
        <v>955</v>
      </c>
      <c r="H179" s="2" t="s">
        <v>956</v>
      </c>
      <c r="I179" s="29" t="s">
        <v>2</v>
      </c>
    </row>
    <row r="180" spans="1:9">
      <c r="A180" s="17">
        <v>178</v>
      </c>
      <c r="B180" s="17">
        <v>178</v>
      </c>
      <c r="C180" s="6" t="s">
        <v>826</v>
      </c>
      <c r="D180" s="11">
        <v>3.8391009473484008</v>
      </c>
      <c r="E180" s="12">
        <v>0.49854084625866379</v>
      </c>
      <c r="F180" s="11">
        <v>0.13212696994682666</v>
      </c>
      <c r="G180" s="2" t="s">
        <v>954</v>
      </c>
      <c r="H180" s="2" t="s">
        <v>958</v>
      </c>
      <c r="I180" s="29" t="s">
        <v>1</v>
      </c>
    </row>
    <row r="181" spans="1:9">
      <c r="A181" s="17">
        <v>179</v>
      </c>
      <c r="B181" s="17">
        <v>179</v>
      </c>
      <c r="C181" s="6" t="s">
        <v>827</v>
      </c>
      <c r="D181" s="11">
        <v>3.6781202419437466</v>
      </c>
      <c r="E181" s="12">
        <v>0.30677493294450686</v>
      </c>
      <c r="F181" s="11">
        <v>0.12099914062045719</v>
      </c>
      <c r="G181" s="2" t="s">
        <v>955</v>
      </c>
      <c r="H181" s="2" t="s">
        <v>957</v>
      </c>
      <c r="I181" s="29" t="s">
        <v>0</v>
      </c>
    </row>
    <row r="182" spans="1:9">
      <c r="A182" s="17">
        <v>180</v>
      </c>
      <c r="B182" s="17">
        <v>180</v>
      </c>
      <c r="C182" s="6" t="s">
        <v>828</v>
      </c>
      <c r="D182" s="11">
        <v>2.0284345137546769</v>
      </c>
      <c r="E182" s="12">
        <v>0.26658540230772632</v>
      </c>
      <c r="F182" s="11">
        <v>0.13490251603284015</v>
      </c>
      <c r="G182" s="2" t="s">
        <v>953</v>
      </c>
      <c r="H182" s="2" t="s">
        <v>957</v>
      </c>
      <c r="I182" s="29" t="s">
        <v>1</v>
      </c>
    </row>
    <row r="183" spans="1:9">
      <c r="A183" s="17">
        <v>181</v>
      </c>
      <c r="B183" s="17">
        <v>181</v>
      </c>
      <c r="C183" s="6" t="s">
        <v>829</v>
      </c>
      <c r="D183" s="11">
        <v>3.7706404906706883</v>
      </c>
      <c r="E183" s="12">
        <v>0.33545017743807692</v>
      </c>
      <c r="F183" s="11">
        <v>9.7435840869453394E-2</v>
      </c>
      <c r="G183" s="2" t="s">
        <v>954</v>
      </c>
      <c r="H183" s="2" t="s">
        <v>958</v>
      </c>
      <c r="I183" s="29" t="s">
        <v>0</v>
      </c>
    </row>
    <row r="184" spans="1:9">
      <c r="A184" s="17">
        <v>182</v>
      </c>
      <c r="B184" s="17">
        <v>182</v>
      </c>
      <c r="C184" s="6" t="s">
        <v>830</v>
      </c>
      <c r="D184" s="11">
        <v>1.3017199211530386</v>
      </c>
      <c r="E184" s="12">
        <v>0.46912153446345473</v>
      </c>
      <c r="F184" s="11">
        <v>0.13212542894788931</v>
      </c>
      <c r="G184" s="2" t="s">
        <v>953</v>
      </c>
      <c r="H184" s="2" t="s">
        <v>958</v>
      </c>
      <c r="I184" s="29" t="s">
        <v>1</v>
      </c>
    </row>
    <row r="185" spans="1:9">
      <c r="A185" s="17">
        <v>183</v>
      </c>
      <c r="B185" s="17">
        <v>183</v>
      </c>
      <c r="C185" s="6" t="s">
        <v>831</v>
      </c>
      <c r="D185" s="11">
        <v>3.4102448555999434</v>
      </c>
      <c r="E185" s="12">
        <v>0.34238935875936294</v>
      </c>
      <c r="F185" s="11">
        <v>0.12226036775072863</v>
      </c>
      <c r="G185" s="2" t="s">
        <v>954</v>
      </c>
      <c r="H185" s="2" t="s">
        <v>958</v>
      </c>
      <c r="I185" s="29" t="s">
        <v>0</v>
      </c>
    </row>
    <row r="186" spans="1:9">
      <c r="A186" s="17">
        <v>184</v>
      </c>
      <c r="B186" s="17">
        <v>184</v>
      </c>
      <c r="C186" s="6" t="s">
        <v>832</v>
      </c>
      <c r="D186" s="11">
        <v>2.8336533404721411</v>
      </c>
      <c r="E186" s="12">
        <v>0.33653336727883287</v>
      </c>
      <c r="F186" s="11">
        <v>0.16190258841388278</v>
      </c>
      <c r="G186" s="2" t="s">
        <v>955</v>
      </c>
      <c r="H186" s="2" t="s">
        <v>956</v>
      </c>
      <c r="I186" s="29" t="s">
        <v>0</v>
      </c>
    </row>
    <row r="187" spans="1:9">
      <c r="A187" s="17">
        <v>185</v>
      </c>
      <c r="B187" s="17">
        <v>185</v>
      </c>
      <c r="C187" s="6" t="s">
        <v>833</v>
      </c>
      <c r="D187" s="11">
        <v>3.8248612585952504</v>
      </c>
      <c r="E187" s="12">
        <v>0.33242419634251563</v>
      </c>
      <c r="F187" s="11">
        <v>0.1654998779332309</v>
      </c>
      <c r="G187" s="2" t="s">
        <v>954</v>
      </c>
      <c r="H187" s="2" t="s">
        <v>958</v>
      </c>
      <c r="I187" s="29" t="s">
        <v>1</v>
      </c>
    </row>
    <row r="188" spans="1:9">
      <c r="A188" s="17">
        <v>186</v>
      </c>
      <c r="B188" s="17">
        <v>186</v>
      </c>
      <c r="C188" s="6" t="s">
        <v>834</v>
      </c>
      <c r="D188" s="11">
        <v>1.3663644430702551</v>
      </c>
      <c r="E188" s="12">
        <v>0.31866712150321108</v>
      </c>
      <c r="F188" s="11">
        <v>0.11394743748323527</v>
      </c>
      <c r="G188" s="2" t="s">
        <v>954</v>
      </c>
      <c r="H188" s="2" t="s">
        <v>956</v>
      </c>
      <c r="I188" s="29" t="s">
        <v>0</v>
      </c>
    </row>
    <row r="189" spans="1:9">
      <c r="A189" s="17">
        <v>187</v>
      </c>
      <c r="B189" s="17">
        <v>187</v>
      </c>
      <c r="C189" s="6" t="s">
        <v>835</v>
      </c>
      <c r="D189" s="11">
        <v>2.5902541034660533</v>
      </c>
      <c r="E189" s="12">
        <v>0.31364219313007924</v>
      </c>
      <c r="F189" s="11">
        <v>0.19381957440427505</v>
      </c>
      <c r="G189" s="2" t="s">
        <v>953</v>
      </c>
      <c r="H189" s="2" t="s">
        <v>957</v>
      </c>
      <c r="I189" s="29" t="s">
        <v>0</v>
      </c>
    </row>
    <row r="190" spans="1:9">
      <c r="A190" s="17">
        <v>188</v>
      </c>
      <c r="B190" s="17">
        <v>188</v>
      </c>
      <c r="C190" s="6" t="s">
        <v>836</v>
      </c>
      <c r="D190" s="11">
        <v>1.8481706719243665</v>
      </c>
      <c r="E190" s="12">
        <v>0.43430410990612289</v>
      </c>
      <c r="F190" s="11">
        <v>0.12526522367861254</v>
      </c>
      <c r="G190" s="2" t="s">
        <v>955</v>
      </c>
      <c r="H190" s="2" t="s">
        <v>958</v>
      </c>
      <c r="I190" s="29" t="s">
        <v>0</v>
      </c>
    </row>
    <row r="191" spans="1:9">
      <c r="A191" s="17">
        <v>189</v>
      </c>
      <c r="B191" s="17">
        <v>189</v>
      </c>
      <c r="C191" s="6" t="s">
        <v>837</v>
      </c>
      <c r="D191" s="11">
        <v>3.5481143629071301</v>
      </c>
      <c r="E191" s="12">
        <v>0.22588655495627608</v>
      </c>
      <c r="F191" s="11">
        <v>0.12017569518829624</v>
      </c>
      <c r="G191" s="2" t="s">
        <v>955</v>
      </c>
      <c r="H191" s="2" t="s">
        <v>958</v>
      </c>
      <c r="I191" s="29" t="s">
        <v>0</v>
      </c>
    </row>
    <row r="192" spans="1:9">
      <c r="A192" s="17">
        <v>190</v>
      </c>
      <c r="B192" s="17">
        <v>190</v>
      </c>
      <c r="C192" s="6" t="s">
        <v>838</v>
      </c>
      <c r="D192" s="11">
        <v>2.5394133752119377</v>
      </c>
      <c r="E192" s="12">
        <v>0.20332909487723372</v>
      </c>
      <c r="F192" s="11">
        <v>0.15126008175284006</v>
      </c>
      <c r="G192" s="2" t="s">
        <v>954</v>
      </c>
      <c r="H192" s="2" t="s">
        <v>958</v>
      </c>
      <c r="I192" s="29" t="s">
        <v>2</v>
      </c>
    </row>
    <row r="193" spans="1:9">
      <c r="A193" s="17">
        <v>191</v>
      </c>
      <c r="B193" s="17">
        <v>191</v>
      </c>
      <c r="C193" s="6" t="s">
        <v>839</v>
      </c>
      <c r="D193" s="11">
        <v>2.3994445648126419</v>
      </c>
      <c r="E193" s="12">
        <v>0.49816202325263292</v>
      </c>
      <c r="F193" s="11">
        <v>0.12781348392135988</v>
      </c>
      <c r="G193" s="2" t="s">
        <v>955</v>
      </c>
      <c r="H193" s="2" t="s">
        <v>956</v>
      </c>
      <c r="I193" s="29" t="s">
        <v>0</v>
      </c>
    </row>
    <row r="194" spans="1:9">
      <c r="A194" s="17">
        <v>192</v>
      </c>
      <c r="B194" s="17">
        <v>192</v>
      </c>
      <c r="C194" s="6" t="s">
        <v>840</v>
      </c>
      <c r="D194" s="11">
        <v>3.1263188284132628</v>
      </c>
      <c r="E194" s="12">
        <v>0.41579655774756974</v>
      </c>
      <c r="F194" s="11">
        <v>9.8019488466976334E-2</v>
      </c>
      <c r="G194" s="2" t="s">
        <v>955</v>
      </c>
      <c r="H194" s="2" t="s">
        <v>957</v>
      </c>
      <c r="I194" s="29" t="s">
        <v>0</v>
      </c>
    </row>
    <row r="195" spans="1:9">
      <c r="A195" s="17">
        <v>193</v>
      </c>
      <c r="B195" s="17">
        <v>193</v>
      </c>
      <c r="C195" s="6" t="s">
        <v>841</v>
      </c>
      <c r="D195" s="11">
        <v>2.7815561294623183</v>
      </c>
      <c r="E195" s="12">
        <v>0.50156176410627085</v>
      </c>
      <c r="F195" s="11">
        <v>0.10226629753842281</v>
      </c>
      <c r="G195" s="2" t="s">
        <v>955</v>
      </c>
      <c r="H195" s="2" t="s">
        <v>958</v>
      </c>
      <c r="I195" s="29" t="s">
        <v>1</v>
      </c>
    </row>
    <row r="196" spans="1:9">
      <c r="A196" s="17">
        <v>194</v>
      </c>
      <c r="B196" s="17">
        <v>194</v>
      </c>
      <c r="C196" s="6" t="s">
        <v>842</v>
      </c>
      <c r="D196" s="11">
        <v>2.4817600176678969</v>
      </c>
      <c r="E196" s="12">
        <v>0.25836936191143467</v>
      </c>
      <c r="F196" s="11">
        <v>0.11367157567346658</v>
      </c>
      <c r="G196" s="2" t="s">
        <v>954</v>
      </c>
      <c r="H196" s="2" t="s">
        <v>958</v>
      </c>
      <c r="I196" s="29" t="s">
        <v>1</v>
      </c>
    </row>
    <row r="197" spans="1:9">
      <c r="A197" s="17">
        <v>195</v>
      </c>
      <c r="B197" s="17">
        <v>195</v>
      </c>
      <c r="C197" s="6" t="s">
        <v>843</v>
      </c>
      <c r="D197" s="11">
        <v>3.3438486687149851</v>
      </c>
      <c r="E197" s="12">
        <v>0.33207552267657592</v>
      </c>
      <c r="F197" s="11">
        <v>0.13861078047566117</v>
      </c>
      <c r="G197" s="2" t="s">
        <v>954</v>
      </c>
      <c r="H197" s="2" t="s">
        <v>956</v>
      </c>
      <c r="I197" s="29" t="s">
        <v>0</v>
      </c>
    </row>
    <row r="198" spans="1:9">
      <c r="A198" s="17">
        <v>196</v>
      </c>
      <c r="B198" s="17">
        <v>196</v>
      </c>
      <c r="C198" s="6" t="s">
        <v>844</v>
      </c>
      <c r="D198" s="11">
        <v>2.7963718465029377</v>
      </c>
      <c r="E198" s="12">
        <v>0.39441169986520253</v>
      </c>
      <c r="F198" s="11">
        <v>0.15293682659657498</v>
      </c>
      <c r="G198" s="2" t="s">
        <v>955</v>
      </c>
      <c r="H198" s="2" t="s">
        <v>957</v>
      </c>
      <c r="I198" s="29" t="s">
        <v>1</v>
      </c>
    </row>
    <row r="199" spans="1:9">
      <c r="A199" s="17">
        <v>197</v>
      </c>
      <c r="B199" s="17">
        <v>197</v>
      </c>
      <c r="C199" s="6" t="s">
        <v>845</v>
      </c>
      <c r="D199" s="11">
        <v>2.2143319796081631</v>
      </c>
      <c r="E199" s="12">
        <v>0.33094584301369467</v>
      </c>
      <c r="F199" s="11">
        <v>0.14453612838960544</v>
      </c>
      <c r="G199" s="2" t="s">
        <v>953</v>
      </c>
      <c r="H199" s="2" t="s">
        <v>957</v>
      </c>
      <c r="I199" s="29" t="s">
        <v>0</v>
      </c>
    </row>
    <row r="200" spans="1:9">
      <c r="A200" s="17">
        <v>198</v>
      </c>
      <c r="B200" s="17">
        <v>198</v>
      </c>
      <c r="C200" s="6" t="s">
        <v>846</v>
      </c>
      <c r="D200" s="11">
        <v>2.6059530638807917</v>
      </c>
      <c r="E200" s="12">
        <v>0.32904309744725468</v>
      </c>
      <c r="F200" s="11">
        <v>0.12215730482179971</v>
      </c>
      <c r="G200" s="2" t="s">
        <v>954</v>
      </c>
      <c r="H200" s="2" t="s">
        <v>957</v>
      </c>
      <c r="I200" s="29" t="s">
        <v>2</v>
      </c>
    </row>
    <row r="201" spans="1:9">
      <c r="A201" s="17">
        <v>199</v>
      </c>
      <c r="B201" s="17">
        <v>199</v>
      </c>
      <c r="C201" s="6" t="s">
        <v>847</v>
      </c>
      <c r="D201" s="11">
        <v>3.1040996320147531</v>
      </c>
      <c r="E201" s="12">
        <v>0.19423964420883566</v>
      </c>
      <c r="F201" s="11">
        <v>0.14192174319245715</v>
      </c>
      <c r="G201" s="2" t="s">
        <v>953</v>
      </c>
      <c r="H201" s="2" t="s">
        <v>958</v>
      </c>
      <c r="I201" s="29" t="s">
        <v>0</v>
      </c>
    </row>
    <row r="202" spans="1:9">
      <c r="A202" s="17">
        <v>200</v>
      </c>
      <c r="B202" s="17">
        <v>200</v>
      </c>
      <c r="C202" s="6" t="s">
        <v>848</v>
      </c>
      <c r="D202" s="11">
        <v>1.5799085718530694</v>
      </c>
      <c r="E202" s="12">
        <v>0.30186473316706541</v>
      </c>
      <c r="F202" s="11">
        <v>0.13291568540293702</v>
      </c>
      <c r="G202" s="2" t="s">
        <v>953</v>
      </c>
      <c r="H202" s="2" t="s">
        <v>956</v>
      </c>
      <c r="I202" s="29" t="s">
        <v>0</v>
      </c>
    </row>
    <row r="203" spans="1:9">
      <c r="A203" s="17">
        <v>201</v>
      </c>
      <c r="B203" s="17">
        <v>201</v>
      </c>
      <c r="C203" s="6" t="s">
        <v>849</v>
      </c>
      <c r="D203" s="11">
        <v>3.0918352823713793</v>
      </c>
      <c r="E203" s="12">
        <v>0.38922635859097499</v>
      </c>
      <c r="F203" s="11">
        <v>0.14936893105695709</v>
      </c>
      <c r="G203" s="2" t="s">
        <v>954</v>
      </c>
      <c r="H203" s="2" t="s">
        <v>956</v>
      </c>
      <c r="I203" s="29" t="s">
        <v>0</v>
      </c>
    </row>
    <row r="204" spans="1:9">
      <c r="A204" s="17">
        <v>202</v>
      </c>
      <c r="B204" s="17">
        <v>202</v>
      </c>
      <c r="C204" s="6" t="s">
        <v>850</v>
      </c>
      <c r="D204" s="11">
        <v>2.2073307094755581</v>
      </c>
      <c r="E204" s="12">
        <v>0.42268257496533623</v>
      </c>
      <c r="F204" s="11">
        <v>0.11658447766476093</v>
      </c>
      <c r="G204" s="2" t="s">
        <v>955</v>
      </c>
      <c r="H204" s="2" t="s">
        <v>956</v>
      </c>
      <c r="I204" s="29" t="s">
        <v>0</v>
      </c>
    </row>
    <row r="205" spans="1:9">
      <c r="A205" s="17">
        <v>203</v>
      </c>
      <c r="B205" s="17">
        <v>203</v>
      </c>
      <c r="C205" s="6" t="s">
        <v>851</v>
      </c>
      <c r="D205" s="11">
        <v>3.043907033984782</v>
      </c>
      <c r="E205" s="12">
        <v>0.26670715040626236</v>
      </c>
      <c r="F205" s="11">
        <v>0.14079511196936983</v>
      </c>
      <c r="G205" s="2" t="s">
        <v>955</v>
      </c>
      <c r="H205" s="2" t="s">
        <v>958</v>
      </c>
      <c r="I205" s="29" t="s">
        <v>2</v>
      </c>
    </row>
    <row r="206" spans="1:9">
      <c r="A206" s="17">
        <v>204</v>
      </c>
      <c r="B206" s="17">
        <v>204</v>
      </c>
      <c r="C206" s="6" t="s">
        <v>852</v>
      </c>
      <c r="D206" s="11">
        <v>2.7997316746545255</v>
      </c>
      <c r="E206" s="12">
        <v>0.36361564492170872</v>
      </c>
      <c r="F206" s="11">
        <v>0.16403404294405483</v>
      </c>
      <c r="G206" s="2" t="s">
        <v>955</v>
      </c>
      <c r="H206" s="2" t="s">
        <v>956</v>
      </c>
      <c r="I206" s="29" t="s">
        <v>2</v>
      </c>
    </row>
    <row r="207" spans="1:9">
      <c r="A207" s="17">
        <v>205</v>
      </c>
      <c r="B207" s="17">
        <v>205</v>
      </c>
      <c r="C207" s="6" t="s">
        <v>853</v>
      </c>
      <c r="D207" s="11">
        <v>0.96759926059842094</v>
      </c>
      <c r="E207" s="12">
        <v>0.40668604857063473</v>
      </c>
      <c r="F207" s="11">
        <v>0.14113806473287333</v>
      </c>
      <c r="G207" s="2" t="s">
        <v>955</v>
      </c>
      <c r="H207" s="2" t="s">
        <v>958</v>
      </c>
      <c r="I207" s="29" t="s">
        <v>1</v>
      </c>
    </row>
    <row r="208" spans="1:9">
      <c r="A208" s="17">
        <v>206</v>
      </c>
      <c r="B208" s="17">
        <v>206</v>
      </c>
      <c r="C208" s="6" t="s">
        <v>854</v>
      </c>
      <c r="D208" s="11">
        <v>1.5372245388929731</v>
      </c>
      <c r="E208" s="12">
        <v>0.39438730421596846</v>
      </c>
      <c r="F208" s="11">
        <v>0.16616586547397311</v>
      </c>
      <c r="G208" s="2" t="s">
        <v>955</v>
      </c>
      <c r="H208" s="2" t="s">
        <v>956</v>
      </c>
      <c r="I208" s="29" t="s">
        <v>2</v>
      </c>
    </row>
    <row r="209" spans="1:9">
      <c r="A209" s="17">
        <v>207</v>
      </c>
      <c r="B209" s="17">
        <v>207</v>
      </c>
      <c r="C209" s="6" t="s">
        <v>855</v>
      </c>
      <c r="D209" s="11">
        <v>2.3342139088485272</v>
      </c>
      <c r="E209" s="12">
        <v>0.24919521691362023</v>
      </c>
      <c r="F209" s="11">
        <v>0.13754682420935388</v>
      </c>
      <c r="G209" s="2" t="s">
        <v>955</v>
      </c>
      <c r="H209" s="2" t="s">
        <v>956</v>
      </c>
      <c r="I209" s="29" t="s">
        <v>0</v>
      </c>
    </row>
    <row r="210" spans="1:9">
      <c r="A210" s="17">
        <v>208</v>
      </c>
      <c r="B210" s="17">
        <v>208</v>
      </c>
      <c r="C210" s="6" t="s">
        <v>856</v>
      </c>
      <c r="D210" s="11">
        <v>2.6346945174149585</v>
      </c>
      <c r="E210" s="12">
        <v>0.45984198184913838</v>
      </c>
      <c r="F210" s="11">
        <v>0.10055169472079434</v>
      </c>
      <c r="G210" s="2" t="s">
        <v>954</v>
      </c>
      <c r="H210" s="2" t="s">
        <v>956</v>
      </c>
      <c r="I210" s="29" t="s">
        <v>2</v>
      </c>
    </row>
    <row r="211" spans="1:9">
      <c r="A211" s="17">
        <v>209</v>
      </c>
      <c r="B211" s="17">
        <v>209</v>
      </c>
      <c r="C211" s="6" t="s">
        <v>857</v>
      </c>
      <c r="D211" s="11">
        <v>1.7894750737245193</v>
      </c>
      <c r="E211" s="12">
        <v>0.36691515648061612</v>
      </c>
      <c r="F211" s="11">
        <v>0.11087261560359912</v>
      </c>
      <c r="G211" s="2" t="s">
        <v>954</v>
      </c>
      <c r="H211" s="2" t="s">
        <v>958</v>
      </c>
      <c r="I211" s="29" t="s">
        <v>0</v>
      </c>
    </row>
    <row r="212" spans="1:9">
      <c r="A212" s="17">
        <v>210</v>
      </c>
      <c r="B212" s="17">
        <v>210</v>
      </c>
      <c r="C212" s="6" t="s">
        <v>858</v>
      </c>
      <c r="D212" s="11">
        <v>1.83592383893067</v>
      </c>
      <c r="E212" s="12">
        <v>0.28201472985773579</v>
      </c>
      <c r="F212" s="11">
        <v>0.10492638370405621</v>
      </c>
      <c r="G212" s="2" t="s">
        <v>954</v>
      </c>
      <c r="H212" s="2" t="s">
        <v>957</v>
      </c>
      <c r="I212" s="29" t="s">
        <v>2</v>
      </c>
    </row>
    <row r="213" spans="1:9">
      <c r="A213" s="17">
        <v>211</v>
      </c>
      <c r="B213" s="17">
        <v>211</v>
      </c>
      <c r="C213" s="6" t="s">
        <v>859</v>
      </c>
      <c r="D213" s="11">
        <v>2.1466031799131304</v>
      </c>
      <c r="E213" s="12">
        <v>0.19598600445777992</v>
      </c>
      <c r="F213" s="11">
        <v>0.11146739519344556</v>
      </c>
      <c r="G213" s="2" t="s">
        <v>955</v>
      </c>
      <c r="H213" s="2" t="s">
        <v>957</v>
      </c>
      <c r="I213" s="29" t="s">
        <v>2</v>
      </c>
    </row>
    <row r="214" spans="1:9">
      <c r="A214" s="17">
        <v>212</v>
      </c>
      <c r="B214" s="17">
        <v>212</v>
      </c>
      <c r="C214" s="6" t="s">
        <v>860</v>
      </c>
      <c r="D214" s="11">
        <v>2.2646862839750828</v>
      </c>
      <c r="E214" s="12">
        <v>0.42147073259701573</v>
      </c>
      <c r="F214" s="11">
        <v>0.12682420860355342</v>
      </c>
      <c r="G214" s="2" t="s">
        <v>955</v>
      </c>
      <c r="H214" s="2" t="s">
        <v>957</v>
      </c>
      <c r="I214" s="29" t="s">
        <v>1</v>
      </c>
    </row>
    <row r="215" spans="1:9">
      <c r="A215" s="17">
        <v>213</v>
      </c>
      <c r="B215" s="17">
        <v>213</v>
      </c>
      <c r="C215" s="6" t="s">
        <v>861</v>
      </c>
      <c r="D215" s="11">
        <v>2.3627768272994434</v>
      </c>
      <c r="E215" s="12">
        <v>0.44108564009792461</v>
      </c>
      <c r="F215" s="11">
        <v>0.13884758831236105</v>
      </c>
      <c r="G215" s="2" t="s">
        <v>955</v>
      </c>
      <c r="H215" s="2" t="s">
        <v>958</v>
      </c>
      <c r="I215" s="29" t="s">
        <v>0</v>
      </c>
    </row>
    <row r="216" spans="1:9">
      <c r="A216" s="17">
        <v>214</v>
      </c>
      <c r="B216" s="17">
        <v>214</v>
      </c>
      <c r="C216" s="6" t="s">
        <v>862</v>
      </c>
      <c r="D216" s="11">
        <v>1.7163578831017947</v>
      </c>
      <c r="E216" s="12">
        <v>0.19973649030606611</v>
      </c>
      <c r="F216" s="11">
        <v>0.11019163207319799</v>
      </c>
      <c r="G216" s="2" t="s">
        <v>953</v>
      </c>
      <c r="H216" s="2" t="s">
        <v>957</v>
      </c>
      <c r="I216" s="29" t="s">
        <v>1</v>
      </c>
    </row>
    <row r="217" spans="1:9">
      <c r="A217" s="17">
        <v>215</v>
      </c>
      <c r="B217" s="17">
        <v>215</v>
      </c>
      <c r="C217" s="6" t="s">
        <v>863</v>
      </c>
      <c r="D217" s="11">
        <v>3.0139582790574639</v>
      </c>
      <c r="E217" s="12">
        <v>0.3302040771883985</v>
      </c>
      <c r="F217" s="11">
        <v>0.1259814891846836</v>
      </c>
      <c r="G217" s="2" t="s">
        <v>954</v>
      </c>
      <c r="H217" s="2" t="s">
        <v>957</v>
      </c>
      <c r="I217" s="29" t="s">
        <v>0</v>
      </c>
    </row>
    <row r="218" spans="1:9">
      <c r="A218" s="17">
        <v>216</v>
      </c>
      <c r="B218" s="17">
        <v>216</v>
      </c>
      <c r="C218" s="6" t="s">
        <v>864</v>
      </c>
      <c r="D218" s="11">
        <v>1.8897511559547855</v>
      </c>
      <c r="E218" s="12">
        <v>0.52720895617557106</v>
      </c>
      <c r="F218" s="11">
        <v>0.12967082464055785</v>
      </c>
      <c r="G218" s="2" t="s">
        <v>955</v>
      </c>
      <c r="H218" s="2" t="s">
        <v>956</v>
      </c>
      <c r="I218" s="29" t="s">
        <v>2</v>
      </c>
    </row>
    <row r="219" spans="1:9">
      <c r="A219" s="17">
        <v>217</v>
      </c>
      <c r="B219" s="17">
        <v>217</v>
      </c>
      <c r="C219" s="6" t="s">
        <v>865</v>
      </c>
      <c r="D219" s="11">
        <v>2.3737550506261176</v>
      </c>
      <c r="E219" s="12">
        <v>0.29780032594561634</v>
      </c>
      <c r="F219" s="11">
        <v>9.3146619827253752E-2</v>
      </c>
      <c r="G219" s="2" t="s">
        <v>955</v>
      </c>
      <c r="H219" s="2" t="s">
        <v>958</v>
      </c>
      <c r="I219" s="29" t="s">
        <v>2</v>
      </c>
    </row>
    <row r="220" spans="1:9">
      <c r="A220" s="17">
        <v>218</v>
      </c>
      <c r="B220" s="17">
        <v>218</v>
      </c>
      <c r="C220" s="6" t="s">
        <v>866</v>
      </c>
      <c r="D220" s="11">
        <v>2.2970685057729714</v>
      </c>
      <c r="E220" s="12">
        <v>0.4505108761647425</v>
      </c>
      <c r="F220" s="11">
        <v>9.5937529902672403E-2</v>
      </c>
      <c r="G220" s="2" t="s">
        <v>954</v>
      </c>
      <c r="H220" s="2" t="s">
        <v>956</v>
      </c>
      <c r="I220" s="29" t="s">
        <v>0</v>
      </c>
    </row>
    <row r="221" spans="1:9">
      <c r="A221" s="17">
        <v>219</v>
      </c>
      <c r="B221" s="17">
        <v>219</v>
      </c>
      <c r="C221" s="6" t="s">
        <v>867</v>
      </c>
      <c r="D221" s="11">
        <v>1.9322169045112094</v>
      </c>
      <c r="E221" s="12">
        <v>0.34866997262514632</v>
      </c>
      <c r="F221" s="11">
        <v>0.12934100486799799</v>
      </c>
      <c r="G221" s="2" t="s">
        <v>954</v>
      </c>
      <c r="H221" s="2" t="s">
        <v>958</v>
      </c>
      <c r="I221" s="29" t="s">
        <v>0</v>
      </c>
    </row>
    <row r="222" spans="1:9">
      <c r="A222" s="17">
        <v>220</v>
      </c>
      <c r="B222" s="17">
        <v>220</v>
      </c>
      <c r="C222" s="6" t="s">
        <v>868</v>
      </c>
      <c r="D222" s="11">
        <v>3.7234102134020066</v>
      </c>
      <c r="E222" s="12">
        <v>0.15919966688915155</v>
      </c>
      <c r="F222" s="11">
        <v>0.10103202638956282</v>
      </c>
      <c r="G222" s="2" t="s">
        <v>954</v>
      </c>
      <c r="H222" s="2" t="s">
        <v>958</v>
      </c>
      <c r="I222" s="29" t="s">
        <v>1</v>
      </c>
    </row>
    <row r="223" spans="1:9">
      <c r="A223" s="17">
        <v>221</v>
      </c>
      <c r="B223" s="17">
        <v>221</v>
      </c>
      <c r="C223" s="6" t="s">
        <v>869</v>
      </c>
      <c r="D223" s="11">
        <v>1.9030853686630724</v>
      </c>
      <c r="E223" s="12">
        <v>0.32409423286725358</v>
      </c>
      <c r="F223" s="11">
        <v>0.1129016742043823</v>
      </c>
      <c r="G223" s="2" t="s">
        <v>955</v>
      </c>
      <c r="H223" s="2" t="s">
        <v>957</v>
      </c>
      <c r="I223" s="29" t="s">
        <v>2</v>
      </c>
    </row>
    <row r="224" spans="1:9">
      <c r="A224" s="17">
        <v>222</v>
      </c>
      <c r="B224" s="17">
        <v>222</v>
      </c>
      <c r="C224" s="6" t="s">
        <v>870</v>
      </c>
      <c r="D224" s="11">
        <v>2.7017583581395446</v>
      </c>
      <c r="E224" s="12">
        <v>0.21458699655585223</v>
      </c>
      <c r="F224" s="11">
        <v>0.11207629677355363</v>
      </c>
      <c r="G224" s="2" t="s">
        <v>955</v>
      </c>
      <c r="H224" s="2" t="s">
        <v>956</v>
      </c>
      <c r="I224" s="29" t="s">
        <v>1</v>
      </c>
    </row>
    <row r="225" spans="1:9">
      <c r="A225" s="17">
        <v>223</v>
      </c>
      <c r="B225" s="17">
        <v>223</v>
      </c>
      <c r="C225" s="6" t="s">
        <v>871</v>
      </c>
      <c r="D225" s="11">
        <v>2.1976743194822337</v>
      </c>
      <c r="E225" s="12">
        <v>0.38942658703280175</v>
      </c>
      <c r="F225" s="11">
        <v>0.15584039059430871</v>
      </c>
      <c r="G225" s="2" t="s">
        <v>954</v>
      </c>
      <c r="H225" s="2" t="s">
        <v>958</v>
      </c>
      <c r="I225" s="29" t="s">
        <v>1</v>
      </c>
    </row>
    <row r="226" spans="1:9">
      <c r="A226" s="17">
        <v>224</v>
      </c>
      <c r="B226" s="17">
        <v>224</v>
      </c>
      <c r="C226" s="6" t="s">
        <v>872</v>
      </c>
      <c r="D226" s="11">
        <v>1.9688024485143831</v>
      </c>
      <c r="E226" s="12">
        <v>0.59320102853479328</v>
      </c>
      <c r="F226" s="11">
        <v>0.13024603124390161</v>
      </c>
      <c r="G226" s="2" t="s">
        <v>953</v>
      </c>
      <c r="H226" s="2" t="s">
        <v>958</v>
      </c>
      <c r="I226" s="29" t="s">
        <v>2</v>
      </c>
    </row>
    <row r="227" spans="1:9">
      <c r="A227" s="17">
        <v>225</v>
      </c>
      <c r="B227" s="17">
        <v>225</v>
      </c>
      <c r="C227" s="6" t="s">
        <v>873</v>
      </c>
      <c r="D227" s="11">
        <v>1.3594116805829106</v>
      </c>
      <c r="E227" s="12">
        <v>0.27719820016744778</v>
      </c>
      <c r="F227" s="11">
        <v>0.13877072236536697</v>
      </c>
      <c r="G227" s="2" t="s">
        <v>954</v>
      </c>
      <c r="H227" s="2" t="s">
        <v>957</v>
      </c>
      <c r="I227" s="29" t="s">
        <v>0</v>
      </c>
    </row>
    <row r="228" spans="1:9">
      <c r="A228" s="17">
        <v>226</v>
      </c>
      <c r="B228" s="17">
        <v>226</v>
      </c>
      <c r="C228" s="6" t="s">
        <v>874</v>
      </c>
      <c r="D228" s="11">
        <v>2.3901910577618981</v>
      </c>
      <c r="E228" s="12">
        <v>0.19176509684501797</v>
      </c>
      <c r="F228" s="11">
        <v>0.14638905311184863</v>
      </c>
      <c r="G228" s="2" t="s">
        <v>953</v>
      </c>
      <c r="H228" s="2" t="s">
        <v>956</v>
      </c>
      <c r="I228" s="29" t="s">
        <v>1</v>
      </c>
    </row>
    <row r="229" spans="1:9">
      <c r="A229" s="17">
        <v>227</v>
      </c>
      <c r="B229" s="17">
        <v>227</v>
      </c>
      <c r="C229" s="6" t="s">
        <v>875</v>
      </c>
      <c r="D229" s="11">
        <v>2.0826135112069313</v>
      </c>
      <c r="E229" s="12">
        <v>0.46698530412203398</v>
      </c>
      <c r="F229" s="11">
        <v>0.10849000124662417</v>
      </c>
      <c r="G229" s="2" t="s">
        <v>953</v>
      </c>
      <c r="H229" s="2" t="s">
        <v>958</v>
      </c>
      <c r="I229" s="29" t="s">
        <v>0</v>
      </c>
    </row>
    <row r="230" spans="1:9">
      <c r="A230" s="17">
        <v>228</v>
      </c>
      <c r="B230" s="17">
        <v>228</v>
      </c>
      <c r="C230" s="6" t="s">
        <v>876</v>
      </c>
      <c r="D230" s="11">
        <v>2.0980470270073273</v>
      </c>
      <c r="E230" s="12">
        <v>0.3861869138588081</v>
      </c>
      <c r="F230" s="11">
        <v>0.11039780393102411</v>
      </c>
      <c r="G230" s="2" t="s">
        <v>954</v>
      </c>
      <c r="H230" s="2" t="s">
        <v>956</v>
      </c>
      <c r="I230" s="29" t="s">
        <v>0</v>
      </c>
    </row>
    <row r="231" spans="1:9">
      <c r="A231" s="17">
        <v>229</v>
      </c>
      <c r="B231" s="17">
        <v>229</v>
      </c>
      <c r="C231" s="6" t="s">
        <v>877</v>
      </c>
      <c r="D231" s="11">
        <v>2.8768386190999298</v>
      </c>
      <c r="E231" s="12">
        <v>0.47612262549836304</v>
      </c>
      <c r="F231" s="11">
        <v>0.1515301475666056</v>
      </c>
      <c r="G231" s="2" t="s">
        <v>955</v>
      </c>
      <c r="H231" s="2" t="s">
        <v>956</v>
      </c>
      <c r="I231" s="29" t="s">
        <v>0</v>
      </c>
    </row>
    <row r="232" spans="1:9">
      <c r="A232" s="17">
        <v>230</v>
      </c>
      <c r="B232" s="17">
        <v>230</v>
      </c>
      <c r="C232" s="6" t="s">
        <v>878</v>
      </c>
      <c r="D232" s="11">
        <v>2.3493408832795684</v>
      </c>
      <c r="E232" s="12">
        <v>0.25752011714092804</v>
      </c>
      <c r="F232" s="11">
        <v>0.14045425220442304</v>
      </c>
      <c r="G232" s="2" t="s">
        <v>955</v>
      </c>
      <c r="H232" s="2" t="s">
        <v>956</v>
      </c>
      <c r="I232" s="29" t="s">
        <v>1</v>
      </c>
    </row>
    <row r="233" spans="1:9">
      <c r="A233" s="17">
        <v>231</v>
      </c>
      <c r="B233" s="17">
        <v>231</v>
      </c>
      <c r="C233" s="6" t="s">
        <v>879</v>
      </c>
      <c r="D233" s="11">
        <v>2.8179247364964102</v>
      </c>
      <c r="E233" s="12">
        <v>0.38252089219230401</v>
      </c>
      <c r="F233" s="11">
        <v>0.14417153264102672</v>
      </c>
      <c r="G233" s="2" t="s">
        <v>954</v>
      </c>
      <c r="H233" s="2" t="s">
        <v>956</v>
      </c>
      <c r="I233" s="29" t="s">
        <v>2</v>
      </c>
    </row>
    <row r="234" spans="1:9">
      <c r="A234" s="17">
        <v>232</v>
      </c>
      <c r="B234" s="17">
        <v>232</v>
      </c>
      <c r="C234" s="6" t="s">
        <v>880</v>
      </c>
      <c r="D234" s="11">
        <v>2.687548986664682</v>
      </c>
      <c r="E234" s="12">
        <v>0.26146484759254962</v>
      </c>
      <c r="F234" s="11">
        <v>0.15867366664051225</v>
      </c>
      <c r="G234" s="2" t="s">
        <v>953</v>
      </c>
      <c r="H234" s="2" t="s">
        <v>956</v>
      </c>
      <c r="I234" s="29" t="s">
        <v>0</v>
      </c>
    </row>
    <row r="235" spans="1:9">
      <c r="A235" s="17">
        <v>233</v>
      </c>
      <c r="B235" s="17">
        <v>233</v>
      </c>
      <c r="C235" s="6" t="s">
        <v>881</v>
      </c>
      <c r="D235" s="11">
        <v>3.0558601262377341</v>
      </c>
      <c r="E235" s="12">
        <v>0.30971483882484607</v>
      </c>
      <c r="F235" s="11">
        <v>0.14414485265942495</v>
      </c>
      <c r="G235" s="2" t="s">
        <v>954</v>
      </c>
      <c r="H235" s="2" t="s">
        <v>958</v>
      </c>
      <c r="I235" s="29" t="s">
        <v>2</v>
      </c>
    </row>
    <row r="236" spans="1:9">
      <c r="A236" s="17">
        <v>234</v>
      </c>
      <c r="B236" s="17">
        <v>234</v>
      </c>
      <c r="C236" s="6" t="s">
        <v>882</v>
      </c>
      <c r="D236" s="11">
        <v>2.27975666615332</v>
      </c>
      <c r="E236" s="12">
        <v>0.30344630770986258</v>
      </c>
      <c r="F236" s="11">
        <v>0.16614314148964332</v>
      </c>
      <c r="G236" s="2" t="s">
        <v>953</v>
      </c>
      <c r="H236" s="2" t="s">
        <v>957</v>
      </c>
      <c r="I236" s="29" t="s">
        <v>1</v>
      </c>
    </row>
    <row r="237" spans="1:9">
      <c r="A237" s="17">
        <v>235</v>
      </c>
      <c r="B237" s="17">
        <v>235</v>
      </c>
      <c r="C237" s="6" t="s">
        <v>883</v>
      </c>
      <c r="D237" s="11">
        <v>2.692170013593044</v>
      </c>
      <c r="E237" s="12">
        <v>0.35088019543098925</v>
      </c>
      <c r="F237" s="11">
        <v>0.11954043562636435</v>
      </c>
      <c r="G237" s="2" t="s">
        <v>955</v>
      </c>
      <c r="H237" s="2" t="s">
        <v>957</v>
      </c>
      <c r="I237" s="29" t="s">
        <v>2</v>
      </c>
    </row>
    <row r="238" spans="1:9">
      <c r="A238" s="17">
        <v>236</v>
      </c>
      <c r="B238" s="17">
        <v>236</v>
      </c>
      <c r="C238" s="6" t="s">
        <v>884</v>
      </c>
      <c r="D238" s="11">
        <v>3.1719887764260637</v>
      </c>
      <c r="E238" s="12">
        <v>0.25264006670357775</v>
      </c>
      <c r="F238" s="11">
        <v>0.13958533580361837</v>
      </c>
      <c r="G238" s="2" t="s">
        <v>955</v>
      </c>
      <c r="H238" s="2" t="s">
        <v>957</v>
      </c>
      <c r="I238" s="29" t="s">
        <v>0</v>
      </c>
    </row>
    <row r="239" spans="1:9">
      <c r="A239" s="17">
        <v>237</v>
      </c>
      <c r="B239" s="17">
        <v>237</v>
      </c>
      <c r="C239" s="6" t="s">
        <v>885</v>
      </c>
      <c r="D239" s="11">
        <v>2.9045553486279676</v>
      </c>
      <c r="E239" s="12">
        <v>0.32006066542879852</v>
      </c>
      <c r="F239" s="11">
        <v>0.10175698588963861</v>
      </c>
      <c r="G239" s="2" t="s">
        <v>953</v>
      </c>
      <c r="H239" s="2" t="s">
        <v>957</v>
      </c>
      <c r="I239" s="29" t="s">
        <v>0</v>
      </c>
    </row>
    <row r="240" spans="1:9">
      <c r="A240" s="17">
        <v>238</v>
      </c>
      <c r="B240" s="17">
        <v>238</v>
      </c>
      <c r="C240" s="6" t="s">
        <v>886</v>
      </c>
      <c r="D240" s="11">
        <v>3.9094046945460139</v>
      </c>
      <c r="E240" s="12">
        <v>0.465319495545089</v>
      </c>
      <c r="F240" s="11">
        <v>0.1317451012101592</v>
      </c>
      <c r="G240" s="2" t="s">
        <v>953</v>
      </c>
      <c r="H240" s="2" t="s">
        <v>956</v>
      </c>
      <c r="I240" s="29" t="s">
        <v>2</v>
      </c>
    </row>
    <row r="241" spans="1:9">
      <c r="A241" s="17">
        <v>239</v>
      </c>
      <c r="B241" s="17">
        <v>239</v>
      </c>
      <c r="C241" s="6" t="s">
        <v>887</v>
      </c>
      <c r="D241" s="11">
        <v>2.4600353297641266</v>
      </c>
      <c r="E241" s="12">
        <v>0.50471110433380817</v>
      </c>
      <c r="F241" s="11">
        <v>0.12541129657788225</v>
      </c>
      <c r="G241" s="2" t="s">
        <v>953</v>
      </c>
      <c r="H241" s="2" t="s">
        <v>956</v>
      </c>
      <c r="I241" s="29" t="s">
        <v>0</v>
      </c>
    </row>
    <row r="242" spans="1:9">
      <c r="A242" s="17">
        <v>240</v>
      </c>
      <c r="B242" s="17">
        <v>240</v>
      </c>
      <c r="C242" s="6" t="s">
        <v>888</v>
      </c>
      <c r="D242" s="11">
        <v>1.8272786985975689</v>
      </c>
      <c r="E242" s="12">
        <v>0.40926715428912575</v>
      </c>
      <c r="F242" s="11">
        <v>0.10157013401848963</v>
      </c>
      <c r="G242" s="2" t="s">
        <v>955</v>
      </c>
      <c r="H242" s="2" t="s">
        <v>956</v>
      </c>
      <c r="I242" s="29" t="s">
        <v>2</v>
      </c>
    </row>
    <row r="243" spans="1:9">
      <c r="A243" s="17">
        <v>241</v>
      </c>
      <c r="B243" s="17">
        <v>241</v>
      </c>
      <c r="C243" s="6" t="s">
        <v>889</v>
      </c>
      <c r="D243" s="11">
        <v>2.1784511438958578</v>
      </c>
      <c r="E243" s="12">
        <v>0.39091966981021686</v>
      </c>
      <c r="F243" s="11">
        <v>0.12905129706777735</v>
      </c>
      <c r="G243" s="2" t="s">
        <v>953</v>
      </c>
      <c r="H243" s="2" t="s">
        <v>957</v>
      </c>
      <c r="I243" s="29" t="s">
        <v>2</v>
      </c>
    </row>
    <row r="244" spans="1:9">
      <c r="A244" s="17">
        <v>242</v>
      </c>
      <c r="B244" s="17">
        <v>242</v>
      </c>
      <c r="C244" s="6" t="s">
        <v>890</v>
      </c>
      <c r="D244" s="11">
        <v>2.2381357590851838</v>
      </c>
      <c r="E244" s="12">
        <v>0.29338310240081045</v>
      </c>
      <c r="F244" s="11">
        <v>0.14600085937954282</v>
      </c>
      <c r="G244" s="2" t="s">
        <v>955</v>
      </c>
      <c r="H244" s="2" t="s">
        <v>958</v>
      </c>
      <c r="I244" s="29" t="s">
        <v>0</v>
      </c>
    </row>
    <row r="245" spans="1:9">
      <c r="A245" s="17">
        <v>243</v>
      </c>
      <c r="B245" s="17">
        <v>243</v>
      </c>
      <c r="C245" s="6" t="s">
        <v>891</v>
      </c>
      <c r="D245" s="11">
        <v>1.869119237503968</v>
      </c>
      <c r="E245" s="12">
        <v>0.3366856099389115</v>
      </c>
      <c r="F245" s="11">
        <v>0.13441263937065379</v>
      </c>
      <c r="G245" s="2" t="s">
        <v>953</v>
      </c>
      <c r="H245" s="2" t="s">
        <v>957</v>
      </c>
      <c r="I245" s="29" t="s">
        <v>1</v>
      </c>
    </row>
    <row r="246" spans="1:9">
      <c r="A246" s="17">
        <v>244</v>
      </c>
      <c r="B246" s="17">
        <v>244</v>
      </c>
      <c r="C246" s="6" t="s">
        <v>892</v>
      </c>
      <c r="D246" s="11">
        <v>2.1326073768208733</v>
      </c>
      <c r="E246" s="12">
        <v>0.25944668298751639</v>
      </c>
      <c r="F246" s="11">
        <v>0.14603082835887654</v>
      </c>
      <c r="G246" s="2" t="s">
        <v>953</v>
      </c>
      <c r="H246" s="2" t="s">
        <v>957</v>
      </c>
      <c r="I246" s="29" t="s">
        <v>2</v>
      </c>
    </row>
    <row r="247" spans="1:9">
      <c r="A247" s="17">
        <v>245</v>
      </c>
      <c r="B247" s="17">
        <v>245</v>
      </c>
      <c r="C247" s="6" t="s">
        <v>893</v>
      </c>
      <c r="D247" s="11">
        <v>2.3880486367628908</v>
      </c>
      <c r="E247" s="12">
        <v>0.37682957134410389</v>
      </c>
      <c r="F247" s="11">
        <v>0.13195007706881007</v>
      </c>
      <c r="G247" s="2" t="s">
        <v>954</v>
      </c>
      <c r="H247" s="2" t="s">
        <v>956</v>
      </c>
      <c r="I247" s="29" t="s">
        <v>0</v>
      </c>
    </row>
    <row r="248" spans="1:9">
      <c r="A248" s="17">
        <v>246</v>
      </c>
      <c r="B248" s="17">
        <v>246</v>
      </c>
      <c r="C248" s="6" t="s">
        <v>894</v>
      </c>
      <c r="D248" s="11">
        <v>1.7592844542881938</v>
      </c>
      <c r="E248" s="12">
        <v>0.52474637648873612</v>
      </c>
      <c r="F248" s="11">
        <v>0.12407690649806319</v>
      </c>
      <c r="G248" s="2" t="s">
        <v>953</v>
      </c>
      <c r="H248" s="2" t="s">
        <v>956</v>
      </c>
      <c r="I248" s="29" t="s">
        <v>1</v>
      </c>
    </row>
    <row r="249" spans="1:9">
      <c r="A249" s="17">
        <v>247</v>
      </c>
      <c r="B249" s="17">
        <v>247</v>
      </c>
      <c r="C249" s="6" t="s">
        <v>895</v>
      </c>
      <c r="D249" s="11">
        <v>2.0810127589133334</v>
      </c>
      <c r="E249" s="12">
        <v>0.41410934544063638</v>
      </c>
      <c r="F249" s="11">
        <v>0.13195318206666889</v>
      </c>
      <c r="G249" s="2" t="s">
        <v>954</v>
      </c>
      <c r="H249" s="2" t="s">
        <v>958</v>
      </c>
      <c r="I249" s="29" t="s">
        <v>0</v>
      </c>
    </row>
    <row r="250" spans="1:9">
      <c r="A250" s="17">
        <v>248</v>
      </c>
      <c r="B250" s="17">
        <v>248</v>
      </c>
      <c r="C250" s="6" t="s">
        <v>896</v>
      </c>
      <c r="D250" s="11">
        <v>2.5981015625215367</v>
      </c>
      <c r="E250" s="12">
        <v>0.22091651679392088</v>
      </c>
      <c r="F250" s="11">
        <v>0.14647065705557544</v>
      </c>
      <c r="G250" s="2" t="s">
        <v>955</v>
      </c>
      <c r="H250" s="2" t="s">
        <v>957</v>
      </c>
      <c r="I250" s="29" t="s">
        <v>0</v>
      </c>
    </row>
    <row r="251" spans="1:9">
      <c r="A251" s="17">
        <v>249</v>
      </c>
      <c r="B251" s="17">
        <v>249</v>
      </c>
      <c r="C251" s="6" t="s">
        <v>897</v>
      </c>
      <c r="D251" s="11">
        <v>3.3202200557347386</v>
      </c>
      <c r="E251" s="12">
        <v>0.32339297302559133</v>
      </c>
      <c r="F251" s="11">
        <v>0.15127604374183284</v>
      </c>
      <c r="G251" s="2" t="s">
        <v>955</v>
      </c>
      <c r="H251" s="2" t="s">
        <v>956</v>
      </c>
      <c r="I251" s="29" t="s">
        <v>1</v>
      </c>
    </row>
    <row r="252" spans="1:9">
      <c r="A252" s="17">
        <v>250</v>
      </c>
      <c r="B252" s="17">
        <v>250</v>
      </c>
      <c r="C252" s="6" t="s">
        <v>898</v>
      </c>
      <c r="D252" s="11">
        <v>2.3046303086952538</v>
      </c>
      <c r="E252" s="12">
        <v>0.44393187589111038</v>
      </c>
      <c r="F252" s="11">
        <v>0.12681604360918391</v>
      </c>
      <c r="G252" s="2" t="s">
        <v>955</v>
      </c>
      <c r="H252" s="2" t="s">
        <v>957</v>
      </c>
      <c r="I252" s="29" t="s">
        <v>2</v>
      </c>
    </row>
    <row r="253" spans="1:9">
      <c r="A253" s="17">
        <v>251</v>
      </c>
      <c r="B253" s="17">
        <v>251</v>
      </c>
      <c r="C253" s="6" t="s">
        <v>899</v>
      </c>
      <c r="D253" s="11">
        <v>2.1701415147758087</v>
      </c>
      <c r="E253" s="12">
        <v>0.40257365556743752</v>
      </c>
      <c r="F253" s="11">
        <v>0.1401790573941944</v>
      </c>
      <c r="G253" s="2" t="s">
        <v>955</v>
      </c>
      <c r="H253" s="2" t="s">
        <v>957</v>
      </c>
      <c r="I253" s="29" t="s">
        <v>1</v>
      </c>
    </row>
    <row r="254" spans="1:9">
      <c r="A254" s="17">
        <v>252</v>
      </c>
      <c r="B254" s="17">
        <v>252</v>
      </c>
      <c r="C254" s="6" t="s">
        <v>900</v>
      </c>
      <c r="D254" s="11">
        <v>2.7400982619796412</v>
      </c>
      <c r="E254" s="12">
        <v>0.29939317772249341</v>
      </c>
      <c r="F254" s="11">
        <v>0.14750869233975755</v>
      </c>
      <c r="G254" s="2" t="s">
        <v>953</v>
      </c>
      <c r="H254" s="2" t="s">
        <v>957</v>
      </c>
      <c r="I254" s="29" t="s">
        <v>0</v>
      </c>
    </row>
    <row r="255" spans="1:9">
      <c r="A255" s="17">
        <v>253</v>
      </c>
      <c r="B255" s="17">
        <v>253</v>
      </c>
      <c r="C255" s="6" t="s">
        <v>901</v>
      </c>
      <c r="D255" s="11">
        <v>2.3449994490287498</v>
      </c>
      <c r="E255" s="12">
        <v>0.17789962246996582</v>
      </c>
      <c r="F255" s="11">
        <v>7.5601863925927326E-2</v>
      </c>
      <c r="G255" s="2" t="s">
        <v>953</v>
      </c>
      <c r="H255" s="2" t="s">
        <v>957</v>
      </c>
      <c r="I255" s="29" t="s">
        <v>2</v>
      </c>
    </row>
    <row r="256" spans="1:9">
      <c r="A256" s="17">
        <v>254</v>
      </c>
      <c r="B256" s="17">
        <v>254</v>
      </c>
      <c r="C256" s="6" t="s">
        <v>902</v>
      </c>
      <c r="D256" s="11">
        <v>2.5507607956164282</v>
      </c>
      <c r="E256" s="12">
        <v>0.42777136930698179</v>
      </c>
      <c r="F256" s="11">
        <v>0.15788081118725678</v>
      </c>
      <c r="G256" s="2" t="s">
        <v>955</v>
      </c>
      <c r="H256" s="2" t="s">
        <v>958</v>
      </c>
      <c r="I256" s="29" t="s">
        <v>0</v>
      </c>
    </row>
    <row r="257" spans="1:9">
      <c r="A257" s="17">
        <v>255</v>
      </c>
      <c r="B257" s="17">
        <v>255</v>
      </c>
      <c r="C257" s="6" t="s">
        <v>903</v>
      </c>
      <c r="D257" s="11">
        <v>1.3811646646130828</v>
      </c>
      <c r="E257" s="12">
        <v>0.38546402013952319</v>
      </c>
      <c r="F257" s="11">
        <v>0.12660810075257906</v>
      </c>
      <c r="G257" s="2" t="s">
        <v>954</v>
      </c>
      <c r="H257" s="2" t="s">
        <v>957</v>
      </c>
      <c r="I257" s="29" t="s">
        <v>2</v>
      </c>
    </row>
    <row r="258" spans="1:9">
      <c r="A258" s="17">
        <v>256</v>
      </c>
      <c r="B258" s="17">
        <v>256</v>
      </c>
      <c r="C258" s="6" t="s">
        <v>904</v>
      </c>
      <c r="D258" s="11">
        <v>1.7589341212946454</v>
      </c>
      <c r="E258" s="12">
        <v>0.40178079696733038</v>
      </c>
      <c r="F258" s="11">
        <v>9.3337243695801597E-2</v>
      </c>
      <c r="G258" s="2" t="s">
        <v>954</v>
      </c>
      <c r="H258" s="2" t="s">
        <v>956</v>
      </c>
      <c r="I258" s="29" t="s">
        <v>0</v>
      </c>
    </row>
    <row r="259" spans="1:9">
      <c r="A259" s="17">
        <v>257</v>
      </c>
      <c r="B259" s="17">
        <v>257</v>
      </c>
      <c r="C259" s="6" t="s">
        <v>905</v>
      </c>
      <c r="D259" s="11">
        <v>3.2306533836303277</v>
      </c>
      <c r="E259" s="12">
        <v>0.39823744398989946</v>
      </c>
      <c r="F259" s="11">
        <v>0.14833278177147441</v>
      </c>
      <c r="G259" s="2" t="s">
        <v>954</v>
      </c>
      <c r="H259" s="2" t="s">
        <v>957</v>
      </c>
      <c r="I259" s="29" t="s">
        <v>2</v>
      </c>
    </row>
    <row r="260" spans="1:9">
      <c r="A260" s="17">
        <v>258</v>
      </c>
      <c r="B260" s="17">
        <v>258</v>
      </c>
      <c r="C260" s="6" t="s">
        <v>906</v>
      </c>
      <c r="D260" s="11">
        <v>1.9004107110007897</v>
      </c>
      <c r="E260" s="12">
        <v>0.40904379601005347</v>
      </c>
      <c r="F260" s="11">
        <v>0.15433890562971647</v>
      </c>
      <c r="G260" s="2" t="s">
        <v>955</v>
      </c>
      <c r="H260" s="2" t="s">
        <v>958</v>
      </c>
      <c r="I260" s="29" t="s">
        <v>2</v>
      </c>
    </row>
    <row r="261" spans="1:9">
      <c r="A261" s="17">
        <v>259</v>
      </c>
      <c r="B261" s="17">
        <v>259</v>
      </c>
      <c r="C261" s="6" t="s">
        <v>907</v>
      </c>
      <c r="D261" s="11">
        <v>2.5493998866799519</v>
      </c>
      <c r="E261" s="12">
        <v>0.36753505913355911</v>
      </c>
      <c r="F261" s="11">
        <v>0.1493752330526113</v>
      </c>
      <c r="G261" s="2" t="s">
        <v>953</v>
      </c>
      <c r="H261" s="2" t="s">
        <v>956</v>
      </c>
      <c r="I261" s="29" t="s">
        <v>1</v>
      </c>
    </row>
    <row r="262" spans="1:9">
      <c r="A262" s="17">
        <v>260</v>
      </c>
      <c r="B262" s="17">
        <v>260</v>
      </c>
      <c r="C262" s="6" t="s">
        <v>908</v>
      </c>
      <c r="D262" s="11">
        <v>2.7434493318063904</v>
      </c>
      <c r="E262" s="12">
        <v>0.42451662146294256</v>
      </c>
      <c r="F262" s="11">
        <v>0.13834595865827942</v>
      </c>
      <c r="G262" s="2" t="s">
        <v>953</v>
      </c>
      <c r="H262" s="2" t="s">
        <v>957</v>
      </c>
      <c r="I262" s="29" t="s">
        <v>2</v>
      </c>
    </row>
    <row r="263" spans="1:9">
      <c r="A263" s="17">
        <v>261</v>
      </c>
      <c r="B263" s="17">
        <v>261</v>
      </c>
      <c r="C263" s="6" t="s">
        <v>909</v>
      </c>
      <c r="D263" s="11">
        <v>2.2316741365061024</v>
      </c>
      <c r="E263" s="12">
        <v>0.36997048139954858</v>
      </c>
      <c r="F263" s="11">
        <v>0.12731907626229805</v>
      </c>
      <c r="G263" s="2" t="s">
        <v>953</v>
      </c>
      <c r="H263" s="2" t="s">
        <v>957</v>
      </c>
      <c r="I263" s="29" t="s">
        <v>2</v>
      </c>
    </row>
    <row r="264" spans="1:9">
      <c r="A264" s="17">
        <v>262</v>
      </c>
      <c r="B264" s="17">
        <v>262</v>
      </c>
      <c r="C264" s="6" t="s">
        <v>910</v>
      </c>
      <c r="D264" s="11">
        <v>2.8389029456370043</v>
      </c>
      <c r="E264" s="12">
        <v>0.33904934121682162</v>
      </c>
      <c r="F264" s="11">
        <v>0.14215181203380417</v>
      </c>
      <c r="G264" s="2" t="s">
        <v>953</v>
      </c>
      <c r="H264" s="2" t="s">
        <v>958</v>
      </c>
      <c r="I264" s="29" t="s">
        <v>0</v>
      </c>
    </row>
    <row r="265" spans="1:9">
      <c r="A265" s="17">
        <v>263</v>
      </c>
      <c r="B265" s="17">
        <v>263</v>
      </c>
      <c r="C265" s="6" t="s">
        <v>911</v>
      </c>
      <c r="D265" s="11">
        <v>1.8183694610847159</v>
      </c>
      <c r="E265" s="12">
        <v>0.42706032819086248</v>
      </c>
      <c r="F265" s="11">
        <v>0.13325003617237235</v>
      </c>
      <c r="G265" s="2" t="s">
        <v>953</v>
      </c>
      <c r="H265" s="2" t="s">
        <v>957</v>
      </c>
      <c r="I265" s="29" t="s">
        <v>1</v>
      </c>
    </row>
    <row r="266" spans="1:9">
      <c r="A266" s="17">
        <v>264</v>
      </c>
      <c r="B266" s="17">
        <v>264</v>
      </c>
      <c r="C266" s="6" t="s">
        <v>912</v>
      </c>
      <c r="D266" s="11">
        <v>1.8870940149421802</v>
      </c>
      <c r="E266" s="12">
        <v>0.53505008607561466</v>
      </c>
      <c r="F266" s="11">
        <v>0.13942842991181897</v>
      </c>
      <c r="G266" s="2" t="s">
        <v>955</v>
      </c>
      <c r="H266" s="2" t="s">
        <v>957</v>
      </c>
      <c r="I266" s="29" t="s">
        <v>1</v>
      </c>
    </row>
    <row r="267" spans="1:9">
      <c r="A267" s="17">
        <v>265</v>
      </c>
      <c r="B267" s="17">
        <v>265</v>
      </c>
      <c r="C267" s="6" t="s">
        <v>913</v>
      </c>
      <c r="D267" s="11">
        <v>2.2650500913145368</v>
      </c>
      <c r="E267" s="12">
        <v>0.46319937553806811</v>
      </c>
      <c r="F267" s="11">
        <v>0.16277456381257799</v>
      </c>
      <c r="G267" s="2" t="s">
        <v>954</v>
      </c>
      <c r="H267" s="2" t="s">
        <v>956</v>
      </c>
      <c r="I267" s="29" t="s">
        <v>0</v>
      </c>
    </row>
    <row r="268" spans="1:9">
      <c r="A268" s="17">
        <v>266</v>
      </c>
      <c r="B268" s="17">
        <v>266</v>
      </c>
      <c r="C268" s="6" t="s">
        <v>914</v>
      </c>
      <c r="D268" s="11">
        <v>1.4837206061705945</v>
      </c>
      <c r="E268" s="12">
        <v>0.3799002010807162</v>
      </c>
      <c r="F268" s="11">
        <v>0.17868668883974897</v>
      </c>
      <c r="G268" s="2" t="s">
        <v>954</v>
      </c>
      <c r="H268" s="2" t="s">
        <v>958</v>
      </c>
      <c r="I268" s="29" t="s">
        <v>2</v>
      </c>
    </row>
    <row r="269" spans="1:9">
      <c r="A269" s="17">
        <v>267</v>
      </c>
      <c r="B269" s="17">
        <v>267</v>
      </c>
      <c r="C269" s="6" t="s">
        <v>915</v>
      </c>
      <c r="D269" s="11">
        <v>2.645916626402526</v>
      </c>
      <c r="E269" s="12">
        <v>0.43382839474605861</v>
      </c>
      <c r="F269" s="11">
        <v>0.12294392727935338</v>
      </c>
      <c r="G269" s="2" t="s">
        <v>953</v>
      </c>
      <c r="H269" s="2" t="s">
        <v>956</v>
      </c>
      <c r="I269" s="29" t="s">
        <v>2</v>
      </c>
    </row>
    <row r="270" spans="1:9">
      <c r="A270" s="17">
        <v>268</v>
      </c>
      <c r="B270" s="17">
        <v>268</v>
      </c>
      <c r="C270" s="6" t="s">
        <v>916</v>
      </c>
      <c r="D270" s="11">
        <v>3.1821834665383211</v>
      </c>
      <c r="E270" s="12">
        <v>0.18475802197161828</v>
      </c>
      <c r="F270" s="11">
        <v>0.16396173099392036</v>
      </c>
      <c r="G270" s="2" t="s">
        <v>953</v>
      </c>
      <c r="H270" s="2" t="s">
        <v>956</v>
      </c>
      <c r="I270" s="29" t="s">
        <v>2</v>
      </c>
    </row>
    <row r="271" spans="1:9">
      <c r="A271" s="17">
        <v>269</v>
      </c>
      <c r="B271" s="17">
        <v>269</v>
      </c>
      <c r="C271" s="6" t="s">
        <v>917</v>
      </c>
      <c r="D271" s="11">
        <v>3.7816355569297446</v>
      </c>
      <c r="E271" s="12">
        <v>0.2752299775990541</v>
      </c>
      <c r="F271" s="11">
        <v>0.1394155039207326</v>
      </c>
      <c r="G271" s="2" t="s">
        <v>953</v>
      </c>
      <c r="H271" s="2" t="s">
        <v>958</v>
      </c>
      <c r="I271" s="29" t="s">
        <v>1</v>
      </c>
    </row>
    <row r="272" spans="1:9">
      <c r="A272" s="17">
        <v>270</v>
      </c>
      <c r="B272" s="17">
        <v>270</v>
      </c>
      <c r="C272" s="6" t="s">
        <v>918</v>
      </c>
      <c r="D272" s="11">
        <v>2.259636099129624</v>
      </c>
      <c r="E272" s="12">
        <v>0.37360036988747014</v>
      </c>
      <c r="F272" s="11">
        <v>0.12965191865359521</v>
      </c>
      <c r="G272" s="2" t="s">
        <v>954</v>
      </c>
      <c r="H272" s="2" t="s">
        <v>956</v>
      </c>
      <c r="I272" s="29" t="s">
        <v>2</v>
      </c>
    </row>
    <row r="273" spans="1:9">
      <c r="A273" s="17">
        <v>271</v>
      </c>
      <c r="B273" s="17">
        <v>271</v>
      </c>
      <c r="C273" s="6" t="s">
        <v>919</v>
      </c>
      <c r="D273" s="11">
        <v>2.2542483819192274</v>
      </c>
      <c r="E273" s="12">
        <v>0.26163101418450241</v>
      </c>
      <c r="F273" s="11">
        <v>0.11318038801218427</v>
      </c>
      <c r="G273" s="2" t="s">
        <v>953</v>
      </c>
      <c r="H273" s="2" t="s">
        <v>958</v>
      </c>
      <c r="I273" s="29" t="s">
        <v>2</v>
      </c>
    </row>
    <row r="274" spans="1:9">
      <c r="A274" s="17">
        <v>272</v>
      </c>
      <c r="B274" s="17">
        <v>272</v>
      </c>
      <c r="C274" s="6" t="s">
        <v>920</v>
      </c>
      <c r="D274" s="11">
        <v>2.8275791053378487</v>
      </c>
      <c r="E274" s="12">
        <v>0.37317229528770257</v>
      </c>
      <c r="F274" s="11">
        <v>0.15145889361574155</v>
      </c>
      <c r="G274" s="2" t="s">
        <v>955</v>
      </c>
      <c r="H274" s="2" t="s">
        <v>956</v>
      </c>
      <c r="I274" s="29" t="s">
        <v>0</v>
      </c>
    </row>
    <row r="275" spans="1:9">
      <c r="A275" s="17">
        <v>273</v>
      </c>
      <c r="B275" s="17">
        <v>273</v>
      </c>
      <c r="C275" s="6" t="s">
        <v>921</v>
      </c>
      <c r="D275" s="11">
        <v>2.2768300382226005</v>
      </c>
      <c r="E275" s="12">
        <v>0.37305561043712077</v>
      </c>
      <c r="F275" s="11">
        <v>0.14825996382168888</v>
      </c>
      <c r="G275" s="2" t="s">
        <v>953</v>
      </c>
      <c r="H275" s="2" t="s">
        <v>956</v>
      </c>
      <c r="I275" s="29" t="s">
        <v>0</v>
      </c>
    </row>
    <row r="276" spans="1:9">
      <c r="A276" s="17">
        <v>274</v>
      </c>
      <c r="B276" s="17">
        <v>274</v>
      </c>
      <c r="C276" s="6" t="s">
        <v>922</v>
      </c>
      <c r="D276" s="11">
        <v>1.8069890285327563</v>
      </c>
      <c r="E276" s="12">
        <v>0.22661957517146947</v>
      </c>
      <c r="F276" s="11">
        <v>0.11639937379240656</v>
      </c>
      <c r="G276" s="2" t="s">
        <v>955</v>
      </c>
      <c r="H276" s="2" t="s">
        <v>957</v>
      </c>
      <c r="I276" s="29" t="s">
        <v>2</v>
      </c>
    </row>
    <row r="277" spans="1:9">
      <c r="A277" s="17">
        <v>275</v>
      </c>
      <c r="B277" s="17">
        <v>275</v>
      </c>
      <c r="C277" s="6" t="s">
        <v>923</v>
      </c>
      <c r="D277" s="11">
        <v>1.9115364784151314</v>
      </c>
      <c r="E277" s="12">
        <v>0.32426085975447494</v>
      </c>
      <c r="F277" s="11">
        <v>0.12595494720298667</v>
      </c>
      <c r="G277" s="2" t="s">
        <v>955</v>
      </c>
      <c r="H277" s="2" t="s">
        <v>957</v>
      </c>
      <c r="I277" s="29" t="s">
        <v>1</v>
      </c>
    </row>
    <row r="278" spans="1:9">
      <c r="A278" s="17">
        <v>276</v>
      </c>
      <c r="B278" s="17">
        <v>276</v>
      </c>
      <c r="C278" s="6" t="s">
        <v>924</v>
      </c>
      <c r="D278" s="11">
        <v>2.8137860911514725</v>
      </c>
      <c r="E278" s="12">
        <v>0.40800721106523996</v>
      </c>
      <c r="F278" s="11">
        <v>9.2894540001085268E-2</v>
      </c>
      <c r="G278" s="2" t="s">
        <v>953</v>
      </c>
      <c r="H278" s="2" t="s">
        <v>958</v>
      </c>
      <c r="I278" s="29" t="s">
        <v>0</v>
      </c>
    </row>
    <row r="279" spans="1:9">
      <c r="A279" s="17">
        <v>277</v>
      </c>
      <c r="B279" s="17">
        <v>277</v>
      </c>
      <c r="C279" s="6" t="s">
        <v>925</v>
      </c>
      <c r="D279" s="11">
        <v>2.0470722290114498</v>
      </c>
      <c r="E279" s="12">
        <v>0.33123065071112068</v>
      </c>
      <c r="F279" s="11">
        <v>0.14139962055250727</v>
      </c>
      <c r="G279" s="2" t="s">
        <v>954</v>
      </c>
      <c r="H279" s="2" t="s">
        <v>956</v>
      </c>
      <c r="I279" s="29" t="s">
        <v>1</v>
      </c>
    </row>
    <row r="280" spans="1:9">
      <c r="A280" s="17">
        <v>278</v>
      </c>
      <c r="B280" s="17">
        <v>278</v>
      </c>
      <c r="C280" s="6" t="s">
        <v>926</v>
      </c>
      <c r="D280" s="11">
        <v>3.1091915873325195</v>
      </c>
      <c r="E280" s="12">
        <v>0.44685452069887832</v>
      </c>
      <c r="F280" s="11">
        <v>0.12015262620420436</v>
      </c>
      <c r="G280" s="2" t="s">
        <v>954</v>
      </c>
      <c r="H280" s="2" t="s">
        <v>958</v>
      </c>
      <c r="I280" s="29" t="s">
        <v>0</v>
      </c>
    </row>
    <row r="281" spans="1:9">
      <c r="A281" s="17">
        <v>279</v>
      </c>
      <c r="B281" s="17">
        <v>279</v>
      </c>
      <c r="C281" s="6" t="s">
        <v>927</v>
      </c>
      <c r="D281" s="11">
        <v>1.9832833280592457</v>
      </c>
      <c r="E281" s="12">
        <v>0.45706386975570057</v>
      </c>
      <c r="F281" s="11">
        <v>0.12299530924392094</v>
      </c>
      <c r="G281" s="2" t="s">
        <v>953</v>
      </c>
      <c r="H281" s="2" t="s">
        <v>957</v>
      </c>
      <c r="I281" s="29" t="s">
        <v>2</v>
      </c>
    </row>
    <row r="282" spans="1:9">
      <c r="A282" s="17">
        <v>280</v>
      </c>
      <c r="B282" s="17">
        <v>280</v>
      </c>
      <c r="C282" s="6" t="s">
        <v>928</v>
      </c>
      <c r="D282" s="11">
        <v>2.2014383780109927</v>
      </c>
      <c r="E282" s="12">
        <v>0.42014910980714193</v>
      </c>
      <c r="F282" s="11">
        <v>0.10816105547346161</v>
      </c>
      <c r="G282" s="2" t="s">
        <v>955</v>
      </c>
      <c r="H282" s="2" t="s">
        <v>957</v>
      </c>
      <c r="I282" s="29" t="s">
        <v>0</v>
      </c>
    </row>
    <row r="283" spans="1:9">
      <c r="A283" s="17">
        <v>281</v>
      </c>
      <c r="B283" s="17">
        <v>281</v>
      </c>
      <c r="C283" s="6" t="s">
        <v>929</v>
      </c>
      <c r="D283" s="11">
        <v>2.6633497351353288</v>
      </c>
      <c r="E283" s="12">
        <v>0.25264006670357775</v>
      </c>
      <c r="F283" s="11">
        <v>0.15258621483835305</v>
      </c>
      <c r="G283" s="2" t="s">
        <v>954</v>
      </c>
      <c r="H283" s="2" t="s">
        <v>958</v>
      </c>
      <c r="I283" s="29" t="s">
        <v>1</v>
      </c>
    </row>
    <row r="284" spans="1:9">
      <c r="A284" s="17">
        <v>282</v>
      </c>
      <c r="B284" s="17">
        <v>282</v>
      </c>
      <c r="C284" s="6" t="s">
        <v>930</v>
      </c>
      <c r="D284" s="11">
        <v>2.2755957881376379</v>
      </c>
      <c r="E284" s="12">
        <v>0.19495034010350354</v>
      </c>
      <c r="F284" s="11">
        <v>0.15584890058844031</v>
      </c>
      <c r="G284" s="2" t="s">
        <v>955</v>
      </c>
      <c r="H284" s="2" t="s">
        <v>956</v>
      </c>
      <c r="I284" s="29" t="s">
        <v>2</v>
      </c>
    </row>
    <row r="285" spans="1:9">
      <c r="A285" s="17">
        <v>283</v>
      </c>
      <c r="B285" s="17">
        <v>283</v>
      </c>
      <c r="C285" s="6" t="s">
        <v>931</v>
      </c>
      <c r="D285" s="11">
        <v>2.2071110776372951</v>
      </c>
      <c r="E285" s="12">
        <v>0.47696542613510973</v>
      </c>
      <c r="F285" s="11">
        <v>0.15322110640053871</v>
      </c>
      <c r="G285" s="2" t="s">
        <v>955</v>
      </c>
      <c r="H285" s="2" t="s">
        <v>957</v>
      </c>
      <c r="I285" s="29" t="s">
        <v>0</v>
      </c>
    </row>
    <row r="286" spans="1:9">
      <c r="A286" s="17">
        <v>284</v>
      </c>
      <c r="B286" s="17">
        <v>284</v>
      </c>
      <c r="C286" s="6" t="s">
        <v>932</v>
      </c>
      <c r="D286" s="11">
        <v>3.7300234223725273</v>
      </c>
      <c r="E286" s="12">
        <v>0.52229576447888393</v>
      </c>
      <c r="F286" s="11">
        <v>0.10550216530700346</v>
      </c>
      <c r="G286" s="2" t="s">
        <v>954</v>
      </c>
      <c r="H286" s="2" t="s">
        <v>958</v>
      </c>
      <c r="I286" s="29" t="s">
        <v>2</v>
      </c>
    </row>
    <row r="287" spans="1:9">
      <c r="A287" s="17">
        <v>285</v>
      </c>
      <c r="B287" s="17">
        <v>285</v>
      </c>
      <c r="C287" s="6" t="s">
        <v>933</v>
      </c>
      <c r="D287" s="11">
        <v>4.4594598328471182</v>
      </c>
      <c r="E287" s="12">
        <v>0.16428500901628285</v>
      </c>
      <c r="F287" s="11">
        <v>0.11142535122243863</v>
      </c>
      <c r="G287" s="2" t="s">
        <v>955</v>
      </c>
      <c r="H287" s="2" t="s">
        <v>957</v>
      </c>
      <c r="I287" s="29" t="s">
        <v>1</v>
      </c>
    </row>
    <row r="288" spans="1:9">
      <c r="A288" s="17">
        <v>286</v>
      </c>
      <c r="B288" s="17">
        <v>286</v>
      </c>
      <c r="C288" s="6" t="s">
        <v>354</v>
      </c>
      <c r="D288" s="11">
        <v>2.1979512172905959</v>
      </c>
      <c r="E288" s="12">
        <v>0.40179748267081594</v>
      </c>
      <c r="F288" s="11">
        <v>0.12084706472532708</v>
      </c>
      <c r="G288" s="2" t="s">
        <v>954</v>
      </c>
      <c r="H288" s="2" t="s">
        <v>958</v>
      </c>
      <c r="I288" s="29" t="s">
        <v>0</v>
      </c>
    </row>
    <row r="289" spans="1:9">
      <c r="A289" s="17">
        <v>287</v>
      </c>
      <c r="B289" s="17">
        <v>287</v>
      </c>
      <c r="C289" s="6" t="s">
        <v>355</v>
      </c>
      <c r="D289" s="11">
        <v>2.7942327940904068</v>
      </c>
      <c r="E289" s="12">
        <v>0.32299136540376638</v>
      </c>
      <c r="F289" s="11">
        <v>0.13073273390827672</v>
      </c>
      <c r="G289" s="2" t="s">
        <v>954</v>
      </c>
      <c r="H289" s="2" t="s">
        <v>958</v>
      </c>
      <c r="I289" s="29" t="s">
        <v>2</v>
      </c>
    </row>
    <row r="290" spans="1:9">
      <c r="A290" s="17">
        <v>288</v>
      </c>
      <c r="B290" s="17">
        <v>288</v>
      </c>
      <c r="C290" s="6" t="s">
        <v>356</v>
      </c>
      <c r="D290" s="11">
        <v>3.4031869932145344</v>
      </c>
      <c r="E290" s="12">
        <v>0.35870509992281585</v>
      </c>
      <c r="F290" s="11">
        <v>0.12817163967437956</v>
      </c>
      <c r="G290" s="2" t="s">
        <v>955</v>
      </c>
      <c r="H290" s="2" t="s">
        <v>958</v>
      </c>
      <c r="I290" s="29" t="s">
        <v>2</v>
      </c>
    </row>
    <row r="291" spans="1:9">
      <c r="A291" s="17">
        <v>289</v>
      </c>
      <c r="B291" s="17">
        <v>289</v>
      </c>
      <c r="C291" s="6" t="s">
        <v>357</v>
      </c>
      <c r="D291" s="11">
        <v>2.6015045085800228</v>
      </c>
      <c r="E291" s="12">
        <v>0.21503923665721958</v>
      </c>
      <c r="F291" s="11">
        <v>9.4117219157938969E-2</v>
      </c>
      <c r="G291" s="2" t="s">
        <v>953</v>
      </c>
      <c r="H291" s="2" t="s">
        <v>958</v>
      </c>
      <c r="I291" s="29" t="s">
        <v>2</v>
      </c>
    </row>
    <row r="292" spans="1:9">
      <c r="A292" s="17">
        <v>290</v>
      </c>
      <c r="B292" s="17">
        <v>290</v>
      </c>
      <c r="C292" s="6" t="s">
        <v>358</v>
      </c>
      <c r="D292" s="11">
        <v>3.3510736129896248</v>
      </c>
      <c r="E292" s="12">
        <v>0.4341057226453704</v>
      </c>
      <c r="F292" s="11">
        <v>0.12521646371223688</v>
      </c>
      <c r="G292" s="2" t="s">
        <v>954</v>
      </c>
      <c r="H292" s="2" t="s">
        <v>956</v>
      </c>
      <c r="I292" s="29" t="s">
        <v>1</v>
      </c>
    </row>
    <row r="293" spans="1:9">
      <c r="A293" s="17">
        <v>291</v>
      </c>
      <c r="B293" s="17">
        <v>291</v>
      </c>
      <c r="C293" s="6" t="s">
        <v>359</v>
      </c>
      <c r="D293" s="11">
        <v>2.3277051260587758</v>
      </c>
      <c r="E293" s="12">
        <v>0.35943351718532357</v>
      </c>
      <c r="F293" s="11">
        <v>0.1250613748191845</v>
      </c>
      <c r="G293" s="2" t="s">
        <v>955</v>
      </c>
      <c r="H293" s="2" t="s">
        <v>957</v>
      </c>
      <c r="I293" s="29" t="s">
        <v>0</v>
      </c>
    </row>
    <row r="294" spans="1:9">
      <c r="A294" s="17">
        <v>292</v>
      </c>
      <c r="B294" s="17">
        <v>292</v>
      </c>
      <c r="C294" s="6" t="s">
        <v>360</v>
      </c>
      <c r="D294" s="11">
        <v>2.285537160546868</v>
      </c>
      <c r="E294" s="12">
        <v>0.64296262942906468</v>
      </c>
      <c r="F294" s="11">
        <v>0.12564378041756391</v>
      </c>
      <c r="G294" s="2" t="s">
        <v>955</v>
      </c>
      <c r="H294" s="2" t="s">
        <v>956</v>
      </c>
      <c r="I294" s="29" t="s">
        <v>1</v>
      </c>
    </row>
    <row r="295" spans="1:9">
      <c r="A295" s="17">
        <v>293</v>
      </c>
      <c r="B295" s="17">
        <v>293</v>
      </c>
      <c r="C295" s="6" t="s">
        <v>361</v>
      </c>
      <c r="D295" s="11">
        <v>3.316032229027245</v>
      </c>
      <c r="E295" s="12">
        <v>0.42116912412228702</v>
      </c>
      <c r="F295" s="11">
        <v>0.12380697868420248</v>
      </c>
      <c r="G295" s="2" t="s">
        <v>953</v>
      </c>
      <c r="H295" s="2" t="s">
        <v>958</v>
      </c>
      <c r="I295" s="29" t="s">
        <v>1</v>
      </c>
    </row>
    <row r="296" spans="1:9">
      <c r="A296" s="17">
        <v>294</v>
      </c>
      <c r="B296" s="17">
        <v>294</v>
      </c>
      <c r="C296" s="6" t="s">
        <v>362</v>
      </c>
      <c r="D296" s="11">
        <v>1.9381334897984051</v>
      </c>
      <c r="E296" s="12">
        <v>0.31030977045946928</v>
      </c>
      <c r="F296" s="11">
        <v>0.1597135879233938</v>
      </c>
      <c r="G296" s="2" t="s">
        <v>954</v>
      </c>
      <c r="H296" s="2" t="s">
        <v>956</v>
      </c>
      <c r="I296" s="29" t="s">
        <v>0</v>
      </c>
    </row>
    <row r="297" spans="1:9">
      <c r="A297" s="17">
        <v>295</v>
      </c>
      <c r="B297" s="17">
        <v>295</v>
      </c>
      <c r="C297" s="6" t="s">
        <v>363</v>
      </c>
      <c r="D297" s="11">
        <v>2.4400164940520188</v>
      </c>
      <c r="E297" s="12">
        <v>0.30986604582057042</v>
      </c>
      <c r="F297" s="11">
        <v>0.14578985752504742</v>
      </c>
      <c r="G297" s="2" t="s">
        <v>953</v>
      </c>
      <c r="H297" s="2" t="s">
        <v>957</v>
      </c>
      <c r="I297" s="29" t="s">
        <v>1</v>
      </c>
    </row>
    <row r="298" spans="1:9">
      <c r="A298" s="17">
        <v>296</v>
      </c>
      <c r="B298" s="17">
        <v>296</v>
      </c>
      <c r="C298" s="6" t="s">
        <v>364</v>
      </c>
      <c r="D298" s="11">
        <v>1.8871829456251579</v>
      </c>
      <c r="E298" s="12">
        <v>0.38871416503087675</v>
      </c>
      <c r="F298" s="11">
        <v>0.15445496354968419</v>
      </c>
      <c r="G298" s="2" t="s">
        <v>955</v>
      </c>
      <c r="H298" s="2" t="s">
        <v>956</v>
      </c>
      <c r="I298" s="29" t="s">
        <v>1</v>
      </c>
    </row>
    <row r="299" spans="1:9">
      <c r="A299" s="17">
        <v>297</v>
      </c>
      <c r="B299" s="17">
        <v>297</v>
      </c>
      <c r="C299" s="6" t="s">
        <v>365</v>
      </c>
      <c r="D299" s="11">
        <v>2.2319416022723306</v>
      </c>
      <c r="E299" s="12">
        <v>0.40655866185505873</v>
      </c>
      <c r="F299" s="11">
        <v>0.1100497681710258</v>
      </c>
      <c r="G299" s="2" t="s">
        <v>953</v>
      </c>
      <c r="H299" s="2" t="s">
        <v>957</v>
      </c>
      <c r="I299" s="29" t="s">
        <v>0</v>
      </c>
    </row>
    <row r="300" spans="1:9">
      <c r="A300" s="17">
        <v>298</v>
      </c>
      <c r="B300" s="17">
        <v>298</v>
      </c>
      <c r="C300" s="6" t="s">
        <v>366</v>
      </c>
      <c r="D300" s="11">
        <v>3.1904567149244247</v>
      </c>
      <c r="E300" s="12">
        <v>0.36300391250978281</v>
      </c>
      <c r="F300" s="11">
        <v>0.13775389306656144</v>
      </c>
      <c r="G300" s="2" t="s">
        <v>954</v>
      </c>
      <c r="H300" s="2" t="s">
        <v>956</v>
      </c>
      <c r="I300" s="29" t="s">
        <v>0</v>
      </c>
    </row>
    <row r="301" spans="1:9">
      <c r="A301" s="17">
        <v>299</v>
      </c>
      <c r="B301" s="17">
        <v>299</v>
      </c>
      <c r="C301" s="6" t="s">
        <v>367</v>
      </c>
      <c r="D301" s="11">
        <v>2.8913949549818643</v>
      </c>
      <c r="E301" s="12">
        <v>0.3880030088409403</v>
      </c>
      <c r="F301" s="11">
        <v>0.12159875020697292</v>
      </c>
      <c r="G301" s="2" t="s">
        <v>953</v>
      </c>
      <c r="H301" s="2" t="s">
        <v>957</v>
      </c>
      <c r="I301" s="29" t="s">
        <v>2</v>
      </c>
    </row>
    <row r="302" spans="1:9">
      <c r="A302" s="17">
        <v>300</v>
      </c>
      <c r="B302" s="17">
        <v>300</v>
      </c>
      <c r="C302" s="6" t="s">
        <v>368</v>
      </c>
      <c r="D302" s="11">
        <v>3.2721220305897294</v>
      </c>
      <c r="E302" s="12">
        <v>0.50973200512334005</v>
      </c>
      <c r="F302" s="11">
        <v>0.14538652980317784</v>
      </c>
      <c r="G302" s="2" t="s">
        <v>955</v>
      </c>
      <c r="H302" s="2" t="s">
        <v>957</v>
      </c>
      <c r="I302" s="29" t="s">
        <v>0</v>
      </c>
    </row>
    <row r="303" spans="1:9">
      <c r="A303" s="17">
        <v>301</v>
      </c>
      <c r="B303" s="17">
        <v>301</v>
      </c>
      <c r="C303" s="6" t="s">
        <v>369</v>
      </c>
      <c r="D303" s="11">
        <v>2.4186246224921195</v>
      </c>
      <c r="E303" s="12">
        <v>0.31812098116705601</v>
      </c>
      <c r="F303" s="11">
        <v>9.960069137659594E-2</v>
      </c>
      <c r="G303" s="2" t="s">
        <v>955</v>
      </c>
      <c r="H303" s="2" t="s">
        <v>957</v>
      </c>
      <c r="I303" s="29" t="s">
        <v>2</v>
      </c>
    </row>
    <row r="304" spans="1:9">
      <c r="A304" s="17">
        <v>302</v>
      </c>
      <c r="B304" s="17">
        <v>302</v>
      </c>
      <c r="C304" s="6" t="s">
        <v>370</v>
      </c>
      <c r="D304" s="11">
        <v>2.4994343171924118</v>
      </c>
      <c r="E304" s="12">
        <v>0.41455859362275804</v>
      </c>
      <c r="F304" s="11">
        <v>0.15779147924885911</v>
      </c>
      <c r="G304" s="2" t="s">
        <v>953</v>
      </c>
      <c r="H304" s="2" t="s">
        <v>957</v>
      </c>
      <c r="I304" s="29" t="s">
        <v>2</v>
      </c>
    </row>
    <row r="305" spans="1:9">
      <c r="A305" s="17">
        <v>303</v>
      </c>
      <c r="B305" s="17">
        <v>303</v>
      </c>
      <c r="C305" s="6" t="s">
        <v>371</v>
      </c>
      <c r="D305" s="11">
        <v>3.0054040905592263</v>
      </c>
      <c r="E305" s="12">
        <v>0.26169499522683326</v>
      </c>
      <c r="F305" s="11">
        <v>0.10584095507337771</v>
      </c>
      <c r="G305" s="2" t="s">
        <v>953</v>
      </c>
      <c r="H305" s="2" t="s">
        <v>958</v>
      </c>
      <c r="I305" s="29" t="s">
        <v>0</v>
      </c>
    </row>
    <row r="306" spans="1:9">
      <c r="A306" s="17">
        <v>304</v>
      </c>
      <c r="B306" s="17">
        <v>304</v>
      </c>
      <c r="C306" s="6" t="s">
        <v>372</v>
      </c>
      <c r="D306" s="11">
        <v>1.5616723921042865</v>
      </c>
      <c r="E306" s="12">
        <v>0.4280567523734935</v>
      </c>
      <c r="F306" s="11">
        <v>0.12651290381822583</v>
      </c>
      <c r="G306" s="2" t="s">
        <v>954</v>
      </c>
      <c r="H306" s="2" t="s">
        <v>958</v>
      </c>
      <c r="I306" s="29" t="s">
        <v>1</v>
      </c>
    </row>
    <row r="307" spans="1:9">
      <c r="A307" s="17">
        <v>305</v>
      </c>
      <c r="B307" s="17">
        <v>305</v>
      </c>
      <c r="C307" s="6" t="s">
        <v>373</v>
      </c>
      <c r="D307" s="11">
        <v>1.6382363204096908</v>
      </c>
      <c r="E307" s="12">
        <v>0.39002784772736776</v>
      </c>
      <c r="F307" s="11">
        <v>0.12305722520122436</v>
      </c>
      <c r="G307" s="2" t="s">
        <v>955</v>
      </c>
      <c r="H307" s="2" t="s">
        <v>956</v>
      </c>
      <c r="I307" s="29" t="s">
        <v>0</v>
      </c>
    </row>
    <row r="308" spans="1:9">
      <c r="A308" s="17">
        <v>306</v>
      </c>
      <c r="B308" s="17">
        <v>306</v>
      </c>
      <c r="C308" s="6" t="s">
        <v>374</v>
      </c>
      <c r="D308" s="11">
        <v>2.4272414666988187</v>
      </c>
      <c r="E308" s="12">
        <v>0.23323378803314698</v>
      </c>
      <c r="F308" s="11">
        <v>0.12863334135599508</v>
      </c>
      <c r="G308" s="2" t="s">
        <v>955</v>
      </c>
      <c r="H308" s="2" t="s">
        <v>958</v>
      </c>
      <c r="I308" s="29" t="s">
        <v>0</v>
      </c>
    </row>
    <row r="309" spans="1:9">
      <c r="A309" s="17">
        <v>307</v>
      </c>
      <c r="B309" s="17">
        <v>307</v>
      </c>
      <c r="C309" s="6" t="s">
        <v>934</v>
      </c>
      <c r="D309" s="11">
        <v>3.5693876602230592</v>
      </c>
      <c r="E309" s="12">
        <v>0.2235636748834513</v>
      </c>
      <c r="F309" s="11">
        <v>0.11029053200499767</v>
      </c>
      <c r="G309" s="2" t="s">
        <v>954</v>
      </c>
      <c r="H309" s="2" t="s">
        <v>957</v>
      </c>
      <c r="I309" s="29" t="s">
        <v>1</v>
      </c>
    </row>
    <row r="310" spans="1:9">
      <c r="A310" s="17">
        <v>308</v>
      </c>
      <c r="B310" s="17">
        <v>308</v>
      </c>
      <c r="C310" s="6" t="s">
        <v>935</v>
      </c>
      <c r="D310" s="11">
        <v>3.1061989351068622</v>
      </c>
      <c r="E310" s="12">
        <v>6.6120598860550661E-2</v>
      </c>
      <c r="F310" s="11">
        <v>0.10170923792256509</v>
      </c>
      <c r="G310" s="2" t="s">
        <v>954</v>
      </c>
      <c r="H310" s="2" t="s">
        <v>957</v>
      </c>
      <c r="I310" s="29" t="s">
        <v>2</v>
      </c>
    </row>
    <row r="311" spans="1:9">
      <c r="A311" s="17">
        <v>309</v>
      </c>
      <c r="B311" s="17">
        <v>309</v>
      </c>
      <c r="C311" s="6" t="s">
        <v>936</v>
      </c>
      <c r="D311" s="11">
        <v>2.3579873710472601</v>
      </c>
      <c r="E311" s="12">
        <v>0.31391227137891109</v>
      </c>
      <c r="F311" s="11">
        <v>0.16708834883783857</v>
      </c>
      <c r="G311" s="2" t="s">
        <v>955</v>
      </c>
      <c r="H311" s="2" t="s">
        <v>957</v>
      </c>
      <c r="I311" s="29" t="s">
        <v>0</v>
      </c>
    </row>
    <row r="312" spans="1:9">
      <c r="A312" s="17">
        <v>310</v>
      </c>
      <c r="B312" s="17">
        <v>310</v>
      </c>
      <c r="C312" s="6" t="s">
        <v>937</v>
      </c>
      <c r="D312" s="11">
        <v>3.1174230652463155</v>
      </c>
      <c r="E312" s="12">
        <v>0.40404050151454429</v>
      </c>
      <c r="F312" s="11">
        <v>0.14888505739063113</v>
      </c>
      <c r="G312" s="2" t="s">
        <v>955</v>
      </c>
      <c r="H312" s="2" t="s">
        <v>956</v>
      </c>
      <c r="I312" s="29" t="s">
        <v>1</v>
      </c>
    </row>
    <row r="313" spans="1:9">
      <c r="A313" s="17">
        <v>311</v>
      </c>
      <c r="B313" s="17">
        <v>311</v>
      </c>
      <c r="C313" s="6" t="s">
        <v>938</v>
      </c>
      <c r="D313" s="11">
        <v>2.1574109527640974</v>
      </c>
      <c r="E313" s="12">
        <v>0.4742480730171228</v>
      </c>
      <c r="F313" s="11">
        <v>0.13616109816493555</v>
      </c>
      <c r="G313" s="2" t="s">
        <v>955</v>
      </c>
      <c r="H313" s="2" t="s">
        <v>958</v>
      </c>
      <c r="I313" s="29" t="s">
        <v>2</v>
      </c>
    </row>
    <row r="314" spans="1:9">
      <c r="A314" s="17">
        <v>312</v>
      </c>
      <c r="B314" s="17">
        <v>312</v>
      </c>
      <c r="C314" s="6" t="s">
        <v>939</v>
      </c>
      <c r="D314" s="11">
        <v>3.1171468411552485</v>
      </c>
      <c r="E314" s="12">
        <v>0.44779674511363554</v>
      </c>
      <c r="F314" s="11">
        <v>0.14248197680612612</v>
      </c>
      <c r="G314" s="2" t="s">
        <v>955</v>
      </c>
      <c r="H314" s="2" t="s">
        <v>956</v>
      </c>
      <c r="I314" s="29" t="s">
        <v>0</v>
      </c>
    </row>
    <row r="315" spans="1:9">
      <c r="A315" s="17">
        <v>313</v>
      </c>
      <c r="B315" s="17">
        <v>313</v>
      </c>
      <c r="C315" s="6" t="s">
        <v>940</v>
      </c>
      <c r="D315" s="11">
        <v>2.189261611616006</v>
      </c>
      <c r="E315" s="12">
        <v>0.17035354183707385</v>
      </c>
      <c r="F315" s="11">
        <v>0.1570931997303851</v>
      </c>
      <c r="G315" s="2" t="s">
        <v>955</v>
      </c>
      <c r="H315" s="2" t="s">
        <v>958</v>
      </c>
      <c r="I315" s="29" t="s">
        <v>0</v>
      </c>
    </row>
    <row r="316" spans="1:9">
      <c r="A316" s="17">
        <v>314</v>
      </c>
      <c r="B316" s="17">
        <v>314</v>
      </c>
      <c r="C316" s="6" t="s">
        <v>941</v>
      </c>
      <c r="D316" s="11">
        <v>3.1204669199864146</v>
      </c>
      <c r="E316" s="12">
        <v>0.39971384106382901</v>
      </c>
      <c r="F316" s="11">
        <v>0.12593337321786385</v>
      </c>
      <c r="G316" s="2" t="s">
        <v>954</v>
      </c>
      <c r="H316" s="2" t="s">
        <v>957</v>
      </c>
      <c r="I316" s="29" t="s">
        <v>1</v>
      </c>
    </row>
    <row r="317" spans="1:9">
      <c r="A317" s="17">
        <v>315</v>
      </c>
      <c r="B317" s="17">
        <v>315</v>
      </c>
      <c r="C317" s="6" t="s">
        <v>942</v>
      </c>
      <c r="D317" s="11">
        <v>3.0478900506345088</v>
      </c>
      <c r="E317" s="12">
        <v>0.27237591678630269</v>
      </c>
      <c r="F317" s="11">
        <v>0.1485605046144392</v>
      </c>
      <c r="G317" s="2" t="s">
        <v>953</v>
      </c>
      <c r="H317" s="2" t="s">
        <v>956</v>
      </c>
      <c r="I317" s="29" t="s">
        <v>2</v>
      </c>
    </row>
    <row r="318" spans="1:9">
      <c r="A318" s="17">
        <v>316</v>
      </c>
      <c r="B318" s="17">
        <v>316</v>
      </c>
      <c r="C318" s="6" t="s">
        <v>384</v>
      </c>
      <c r="D318" s="11">
        <v>2.650896744649275</v>
      </c>
      <c r="E318" s="12">
        <v>0.18541164125298382</v>
      </c>
      <c r="F318" s="11">
        <v>0.10507661960045517</v>
      </c>
      <c r="G318" s="2" t="s">
        <v>954</v>
      </c>
      <c r="H318" s="2" t="s">
        <v>956</v>
      </c>
      <c r="I318" s="29" t="s">
        <v>2</v>
      </c>
    </row>
    <row r="319" spans="1:9">
      <c r="A319" s="17">
        <v>317</v>
      </c>
      <c r="B319" s="17">
        <v>317</v>
      </c>
      <c r="C319" s="6" t="s">
        <v>385</v>
      </c>
      <c r="D319" s="11">
        <v>3.2442260922611457</v>
      </c>
      <c r="E319" s="12">
        <v>0.39309801716871151</v>
      </c>
      <c r="F319" s="11">
        <v>0.14302843342929555</v>
      </c>
      <c r="G319" s="2" t="s">
        <v>955</v>
      </c>
      <c r="H319" s="2" t="s">
        <v>958</v>
      </c>
      <c r="I319" s="29" t="s">
        <v>0</v>
      </c>
    </row>
    <row r="320" spans="1:9">
      <c r="A320" s="17">
        <v>318</v>
      </c>
      <c r="B320" s="17">
        <v>318</v>
      </c>
      <c r="C320" s="6" t="s">
        <v>386</v>
      </c>
      <c r="D320" s="11">
        <v>3.0543469571925232</v>
      </c>
      <c r="E320" s="12">
        <v>0.26750760387830086</v>
      </c>
      <c r="F320" s="11">
        <v>0.11447892111672991</v>
      </c>
      <c r="G320" s="2" t="s">
        <v>955</v>
      </c>
      <c r="H320" s="2" t="s">
        <v>956</v>
      </c>
      <c r="I320" s="29" t="s">
        <v>1</v>
      </c>
    </row>
    <row r="321" spans="1:9">
      <c r="A321" s="17">
        <v>319</v>
      </c>
      <c r="B321" s="17">
        <v>319</v>
      </c>
      <c r="C321" s="6" t="s">
        <v>387</v>
      </c>
      <c r="D321" s="11">
        <v>3.0122288467604665</v>
      </c>
      <c r="E321" s="12">
        <v>0.14927478030830388</v>
      </c>
      <c r="F321" s="11">
        <v>0.14326252726786698</v>
      </c>
      <c r="G321" s="2" t="s">
        <v>954</v>
      </c>
      <c r="H321" s="2" t="s">
        <v>956</v>
      </c>
      <c r="I321" s="29" t="s">
        <v>1</v>
      </c>
    </row>
    <row r="322" spans="1:9">
      <c r="A322" s="17">
        <v>320</v>
      </c>
      <c r="B322" s="17">
        <v>320</v>
      </c>
      <c r="C322" s="6" t="s">
        <v>388</v>
      </c>
      <c r="D322" s="11">
        <v>3.9670425565922631</v>
      </c>
      <c r="E322" s="12">
        <v>0.31662962449689802</v>
      </c>
      <c r="F322" s="11">
        <v>0.10097581442832598</v>
      </c>
      <c r="G322" s="2" t="s">
        <v>953</v>
      </c>
      <c r="H322" s="2" t="s">
        <v>957</v>
      </c>
      <c r="I322" s="29" t="s">
        <v>2</v>
      </c>
    </row>
    <row r="323" spans="1:9">
      <c r="A323" s="17">
        <v>321</v>
      </c>
      <c r="B323" s="17">
        <v>321</v>
      </c>
      <c r="C323" s="6" t="s">
        <v>389</v>
      </c>
      <c r="D323" s="11">
        <v>2.131709311666258</v>
      </c>
      <c r="E323" s="12">
        <v>0.2965952729325072</v>
      </c>
      <c r="F323" s="11">
        <v>0.11019163207319799</v>
      </c>
      <c r="G323" s="2" t="s">
        <v>954</v>
      </c>
      <c r="H323" s="2" t="s">
        <v>956</v>
      </c>
      <c r="I323" s="29" t="s">
        <v>0</v>
      </c>
    </row>
    <row r="324" spans="1:9">
      <c r="A324" s="17">
        <v>322</v>
      </c>
      <c r="B324" s="17">
        <v>322</v>
      </c>
      <c r="C324" s="6" t="s">
        <v>390</v>
      </c>
      <c r="D324" s="11">
        <v>2.094407606178196</v>
      </c>
      <c r="E324" s="12">
        <v>0.30842083375108631</v>
      </c>
      <c r="F324" s="11">
        <v>0.11773822586914867</v>
      </c>
      <c r="G324" s="2" t="s">
        <v>954</v>
      </c>
      <c r="H324" s="2" t="s">
        <v>957</v>
      </c>
      <c r="I324" s="29" t="s">
        <v>2</v>
      </c>
    </row>
    <row r="325" spans="1:9">
      <c r="A325" s="17">
        <v>323</v>
      </c>
      <c r="B325" s="17">
        <v>323</v>
      </c>
      <c r="C325" s="6" t="s">
        <v>391</v>
      </c>
      <c r="D325" s="11">
        <v>2.6064974274553823</v>
      </c>
      <c r="E325" s="12">
        <v>9.7063487994717423E-2</v>
      </c>
      <c r="F325" s="11">
        <v>8.9878046081226792E-2</v>
      </c>
      <c r="G325" s="2" t="s">
        <v>954</v>
      </c>
      <c r="H325" s="2" t="s">
        <v>958</v>
      </c>
      <c r="I325" s="29" t="s">
        <v>1</v>
      </c>
    </row>
    <row r="326" spans="1:9">
      <c r="A326" s="17">
        <v>324</v>
      </c>
      <c r="B326" s="17">
        <v>324</v>
      </c>
      <c r="C326" s="6" t="s">
        <v>392</v>
      </c>
      <c r="D326" s="11">
        <v>2.2741028306112856</v>
      </c>
      <c r="E326" s="12">
        <v>0.48743507216630677</v>
      </c>
      <c r="F326" s="11">
        <v>0.16052640736288232</v>
      </c>
      <c r="G326" s="2" t="s">
        <v>954</v>
      </c>
      <c r="H326" s="2" t="s">
        <v>956</v>
      </c>
      <c r="I326" s="29" t="s">
        <v>0</v>
      </c>
    </row>
    <row r="327" spans="1:9">
      <c r="A327" s="17">
        <v>325</v>
      </c>
      <c r="B327" s="17">
        <v>325</v>
      </c>
      <c r="C327" s="6" t="s">
        <v>393</v>
      </c>
      <c r="D327" s="11">
        <v>3.0813576309951021</v>
      </c>
      <c r="E327" s="12">
        <v>0.28040484715592173</v>
      </c>
      <c r="F327" s="11">
        <v>0.12358769683541687</v>
      </c>
      <c r="G327" s="2" t="s">
        <v>954</v>
      </c>
      <c r="H327" s="2" t="s">
        <v>958</v>
      </c>
      <c r="I327" s="29" t="s">
        <v>2</v>
      </c>
    </row>
    <row r="328" spans="1:9">
      <c r="A328" s="17">
        <v>326</v>
      </c>
      <c r="B328" s="17">
        <v>326</v>
      </c>
      <c r="C328" s="6" t="s">
        <v>394</v>
      </c>
      <c r="D328" s="11">
        <v>2.0756748967827878</v>
      </c>
      <c r="E328" s="12">
        <v>0.43913974185005644</v>
      </c>
      <c r="F328" s="11">
        <v>0.13467608118898716</v>
      </c>
      <c r="G328" s="2" t="s">
        <v>953</v>
      </c>
      <c r="H328" s="2" t="s">
        <v>957</v>
      </c>
      <c r="I328" s="29" t="s">
        <v>2</v>
      </c>
    </row>
    <row r="329" spans="1:9">
      <c r="A329" s="17">
        <v>327</v>
      </c>
      <c r="B329" s="17">
        <v>327</v>
      </c>
      <c r="C329" s="6" t="s">
        <v>395</v>
      </c>
      <c r="D329" s="11">
        <v>2.5976023380057303</v>
      </c>
      <c r="E329" s="12">
        <v>0.414373554924794</v>
      </c>
      <c r="F329" s="11">
        <v>0.1093763286354224</v>
      </c>
      <c r="G329" s="2" t="s">
        <v>954</v>
      </c>
      <c r="H329" s="2" t="s">
        <v>956</v>
      </c>
      <c r="I329" s="29" t="s">
        <v>0</v>
      </c>
    </row>
    <row r="330" spans="1:9">
      <c r="A330" s="17">
        <v>328</v>
      </c>
      <c r="B330" s="17">
        <v>328</v>
      </c>
      <c r="C330" s="6" t="s">
        <v>396</v>
      </c>
      <c r="D330" s="11">
        <v>1.5507743411357513</v>
      </c>
      <c r="E330" s="12">
        <v>0.2043155076377734</v>
      </c>
      <c r="F330" s="11">
        <v>0.14404898872553168</v>
      </c>
      <c r="G330" s="2" t="s">
        <v>955</v>
      </c>
      <c r="H330" s="2" t="s">
        <v>956</v>
      </c>
      <c r="I330" s="29" t="s">
        <v>1</v>
      </c>
    </row>
    <row r="331" spans="1:9">
      <c r="A331" s="17">
        <v>329</v>
      </c>
      <c r="B331" s="17">
        <v>329</v>
      </c>
      <c r="C331" s="6" t="s">
        <v>397</v>
      </c>
      <c r="D331" s="11">
        <v>2.7030114723087753</v>
      </c>
      <c r="E331" s="12">
        <v>0.2508838101063593</v>
      </c>
      <c r="F331" s="11">
        <v>0.11899533600225914</v>
      </c>
      <c r="G331" s="2" t="s">
        <v>955</v>
      </c>
      <c r="H331" s="2" t="s">
        <v>957</v>
      </c>
      <c r="I331" s="29" t="s">
        <v>1</v>
      </c>
    </row>
    <row r="332" spans="1:9">
      <c r="A332" s="17">
        <v>330</v>
      </c>
      <c r="B332" s="17">
        <v>330</v>
      </c>
      <c r="C332" s="6" t="s">
        <v>398</v>
      </c>
      <c r="D332" s="11">
        <v>2.5117559328058849</v>
      </c>
      <c r="E332" s="12">
        <v>0.30214321180454862</v>
      </c>
      <c r="F332" s="11">
        <v>0.11262162639750023</v>
      </c>
      <c r="G332" s="2" t="s">
        <v>955</v>
      </c>
      <c r="H332" s="2" t="s">
        <v>957</v>
      </c>
      <c r="I332" s="29" t="s">
        <v>1</v>
      </c>
    </row>
    <row r="333" spans="1:9">
      <c r="A333" s="17">
        <v>331</v>
      </c>
      <c r="B333" s="17">
        <v>331</v>
      </c>
      <c r="C333" s="6" t="s">
        <v>399</v>
      </c>
      <c r="D333" s="11">
        <v>2.1003592247647465</v>
      </c>
      <c r="E333" s="12">
        <v>0.39857495549557642</v>
      </c>
      <c r="F333" s="11">
        <v>0.11483473087136736</v>
      </c>
      <c r="G333" s="2" t="s">
        <v>953</v>
      </c>
      <c r="H333" s="2" t="s">
        <v>956</v>
      </c>
      <c r="I333" s="29" t="s">
        <v>2</v>
      </c>
    </row>
    <row r="334" spans="1:9">
      <c r="A334" s="17">
        <v>332</v>
      </c>
      <c r="B334" s="17">
        <v>332</v>
      </c>
      <c r="C334" s="6" t="s">
        <v>400</v>
      </c>
      <c r="D334" s="11">
        <v>2.8740521243666297</v>
      </c>
      <c r="E334" s="12">
        <v>0.19727160914288833</v>
      </c>
      <c r="F334" s="11">
        <v>0.11838224842503769</v>
      </c>
      <c r="G334" s="2" t="s">
        <v>955</v>
      </c>
      <c r="H334" s="2" t="s">
        <v>957</v>
      </c>
      <c r="I334" s="29" t="s">
        <v>1</v>
      </c>
    </row>
    <row r="335" spans="1:9">
      <c r="A335" s="17">
        <v>333</v>
      </c>
      <c r="B335" s="17">
        <v>333</v>
      </c>
      <c r="C335" s="6" t="s">
        <v>401</v>
      </c>
      <c r="D335" s="11">
        <v>3.6114033656262325</v>
      </c>
      <c r="E335" s="12">
        <v>0.29132834432192611</v>
      </c>
      <c r="F335" s="11">
        <v>0.15582047260804394</v>
      </c>
      <c r="G335" s="2" t="s">
        <v>955</v>
      </c>
      <c r="H335" s="2" t="s">
        <v>957</v>
      </c>
      <c r="I335" s="29" t="s">
        <v>2</v>
      </c>
    </row>
    <row r="336" spans="1:9">
      <c r="A336" s="17">
        <v>334</v>
      </c>
      <c r="B336" s="17">
        <v>334</v>
      </c>
      <c r="C336" s="6" t="s">
        <v>402</v>
      </c>
      <c r="D336" s="11">
        <v>2.8932800159740726</v>
      </c>
      <c r="E336" s="12">
        <v>0.20898658402319414</v>
      </c>
      <c r="F336" s="11">
        <v>0.13675238175719279</v>
      </c>
      <c r="G336" s="2" t="s">
        <v>955</v>
      </c>
      <c r="H336" s="2" t="s">
        <v>957</v>
      </c>
      <c r="I336" s="29" t="s">
        <v>2</v>
      </c>
    </row>
    <row r="337" spans="1:9">
      <c r="A337" s="17">
        <v>335</v>
      </c>
      <c r="B337" s="17">
        <v>335</v>
      </c>
      <c r="C337" s="6" t="s">
        <v>403</v>
      </c>
      <c r="D337" s="11">
        <v>2.2743601906180846</v>
      </c>
      <c r="E337" s="12">
        <v>0.48541575682310212</v>
      </c>
      <c r="F337" s="11">
        <v>0.11842521239541021</v>
      </c>
      <c r="G337" s="2" t="s">
        <v>953</v>
      </c>
      <c r="H337" s="2" t="s">
        <v>956</v>
      </c>
      <c r="I337" s="29" t="s">
        <v>0</v>
      </c>
    </row>
    <row r="338" spans="1:9">
      <c r="A338" s="17">
        <v>336</v>
      </c>
      <c r="B338" s="17">
        <v>336</v>
      </c>
      <c r="C338" s="6" t="s">
        <v>404</v>
      </c>
      <c r="D338" s="11">
        <v>1.7694279418860095</v>
      </c>
      <c r="E338" s="12">
        <v>0.39507866770935651</v>
      </c>
      <c r="F338" s="11">
        <v>0.1422587849600368</v>
      </c>
      <c r="G338" s="2" t="s">
        <v>955</v>
      </c>
      <c r="H338" s="2" t="s">
        <v>957</v>
      </c>
      <c r="I338" s="29" t="s">
        <v>2</v>
      </c>
    </row>
    <row r="339" spans="1:9">
      <c r="A339" s="17">
        <v>337</v>
      </c>
      <c r="B339" s="17">
        <v>337</v>
      </c>
      <c r="C339" s="6" t="s">
        <v>943</v>
      </c>
      <c r="D339" s="11">
        <v>2.0817821440645492</v>
      </c>
      <c r="E339" s="12">
        <v>0.12419513230514712</v>
      </c>
      <c r="F339" s="11">
        <v>0.12889579417501046</v>
      </c>
      <c r="G339" s="2" t="s">
        <v>955</v>
      </c>
      <c r="H339" s="2" t="s">
        <v>956</v>
      </c>
      <c r="I339" s="29" t="s">
        <v>0</v>
      </c>
    </row>
    <row r="340" spans="1:9">
      <c r="A340" s="17">
        <v>338</v>
      </c>
      <c r="B340" s="17">
        <v>338</v>
      </c>
      <c r="C340" s="6" t="s">
        <v>944</v>
      </c>
      <c r="D340" s="11">
        <v>2.3273096540064433</v>
      </c>
      <c r="E340" s="12">
        <v>0.50434079679024579</v>
      </c>
      <c r="F340" s="11">
        <v>0.12992577946474376</v>
      </c>
      <c r="G340" s="2" t="s">
        <v>955</v>
      </c>
      <c r="H340" s="2" t="s">
        <v>957</v>
      </c>
      <c r="I340" s="29" t="s">
        <v>2</v>
      </c>
    </row>
    <row r="341" spans="1:9">
      <c r="A341" s="17">
        <v>339</v>
      </c>
      <c r="B341" s="17">
        <v>339</v>
      </c>
      <c r="C341" s="6" t="s">
        <v>945</v>
      </c>
      <c r="D341" s="11">
        <v>2.4428986566412494</v>
      </c>
      <c r="E341" s="12">
        <v>0.5104219877309224</v>
      </c>
      <c r="F341" s="11">
        <v>0.15363593411447801</v>
      </c>
      <c r="G341" s="2" t="s">
        <v>954</v>
      </c>
      <c r="H341" s="2" t="s">
        <v>956</v>
      </c>
      <c r="I341" s="29" t="s">
        <v>1</v>
      </c>
    </row>
    <row r="342" spans="1:9">
      <c r="A342" s="17">
        <v>340</v>
      </c>
      <c r="B342" s="17">
        <v>340</v>
      </c>
      <c r="C342" s="6" t="s">
        <v>946</v>
      </c>
      <c r="D342" s="11">
        <v>2.5176785815487381</v>
      </c>
      <c r="E342" s="12">
        <v>0.33790907476276333</v>
      </c>
      <c r="F342" s="11">
        <v>0.10238801345448884</v>
      </c>
      <c r="G342" s="2" t="s">
        <v>953</v>
      </c>
      <c r="H342" s="2" t="s">
        <v>958</v>
      </c>
      <c r="I342" s="29" t="s">
        <v>1</v>
      </c>
    </row>
    <row r="343" spans="1:9">
      <c r="A343" s="17">
        <v>341</v>
      </c>
      <c r="B343" s="17">
        <v>341</v>
      </c>
      <c r="C343" s="6" t="s">
        <v>947</v>
      </c>
      <c r="D343" s="11">
        <v>3.2197903659611473</v>
      </c>
      <c r="E343" s="12">
        <v>0.46298487794291576</v>
      </c>
      <c r="F343" s="11">
        <v>0.16672540908811789</v>
      </c>
      <c r="G343" s="2" t="s">
        <v>953</v>
      </c>
      <c r="H343" s="2" t="s">
        <v>957</v>
      </c>
      <c r="I343" s="29" t="s">
        <v>1</v>
      </c>
    </row>
    <row r="344" spans="1:9">
      <c r="A344" s="17">
        <v>342</v>
      </c>
      <c r="B344" s="17">
        <v>342</v>
      </c>
      <c r="C344" s="6" t="s">
        <v>948</v>
      </c>
      <c r="D344" s="11">
        <v>2.4648342180584439</v>
      </c>
      <c r="E344" s="12">
        <v>0.32661665093900227</v>
      </c>
      <c r="F344" s="11">
        <v>0.12796624981601418</v>
      </c>
      <c r="G344" s="2" t="s">
        <v>954</v>
      </c>
      <c r="H344" s="2" t="s">
        <v>958</v>
      </c>
      <c r="I344" s="29" t="s">
        <v>2</v>
      </c>
    </row>
    <row r="345" spans="1:9">
      <c r="A345" s="17">
        <v>343</v>
      </c>
      <c r="B345" s="17">
        <v>343</v>
      </c>
      <c r="C345" s="6" t="s">
        <v>949</v>
      </c>
      <c r="D345" s="11">
        <v>2.8909759028241968</v>
      </c>
      <c r="E345" s="12">
        <v>0.38105554220482007</v>
      </c>
      <c r="F345" s="11">
        <v>0.167342728662421</v>
      </c>
      <c r="G345" s="2" t="s">
        <v>954</v>
      </c>
      <c r="H345" s="2" t="s">
        <v>957</v>
      </c>
      <c r="I345" s="29" t="s">
        <v>2</v>
      </c>
    </row>
    <row r="346" spans="1:9">
      <c r="A346" s="17">
        <v>344</v>
      </c>
      <c r="B346" s="17">
        <v>344</v>
      </c>
      <c r="C346" s="6" t="s">
        <v>950</v>
      </c>
      <c r="D346" s="11">
        <v>2.8255929867513476</v>
      </c>
      <c r="E346" s="12">
        <v>0.31485081343151977</v>
      </c>
      <c r="F346" s="11">
        <v>0.13314014224815401</v>
      </c>
      <c r="G346" s="2" t="s">
        <v>954</v>
      </c>
      <c r="H346" s="2" t="s">
        <v>958</v>
      </c>
      <c r="I346" s="29" t="s">
        <v>0</v>
      </c>
    </row>
    <row r="347" spans="1:9">
      <c r="A347" s="17">
        <v>345</v>
      </c>
      <c r="B347" s="17">
        <v>345</v>
      </c>
      <c r="C347" s="6" t="s">
        <v>951</v>
      </c>
      <c r="D347" s="11">
        <v>3.0632804485280065</v>
      </c>
      <c r="E347" s="12">
        <v>0.31702490305878017</v>
      </c>
      <c r="F347" s="11">
        <v>9.9868595191852372E-2</v>
      </c>
      <c r="G347" s="2" t="s">
        <v>955</v>
      </c>
      <c r="H347" s="2" t="s">
        <v>957</v>
      </c>
      <c r="I347" s="29" t="s">
        <v>0</v>
      </c>
    </row>
    <row r="348" spans="1:9">
      <c r="A348" s="17">
        <v>346</v>
      </c>
      <c r="B348" s="17">
        <v>346</v>
      </c>
      <c r="C348" s="6" t="s">
        <v>414</v>
      </c>
      <c r="D348" s="11">
        <v>2.8905581981011199</v>
      </c>
      <c r="E348" s="12">
        <v>0.49424168845024541</v>
      </c>
      <c r="F348" s="11">
        <v>0.15292702860333157</v>
      </c>
      <c r="G348" s="2" t="s">
        <v>954</v>
      </c>
      <c r="H348" s="2" t="s">
        <v>957</v>
      </c>
      <c r="I348" s="29" t="s">
        <v>1</v>
      </c>
    </row>
    <row r="349" spans="1:9">
      <c r="A349" s="17">
        <v>347</v>
      </c>
      <c r="B349" s="17">
        <v>347</v>
      </c>
      <c r="C349" s="6" t="s">
        <v>415</v>
      </c>
      <c r="D349" s="11">
        <v>2.652131668451533</v>
      </c>
      <c r="E349" s="12">
        <v>0.46479176701967662</v>
      </c>
      <c r="F349" s="11">
        <v>0.14444284045393579</v>
      </c>
      <c r="G349" s="2" t="s">
        <v>955</v>
      </c>
      <c r="H349" s="2" t="s">
        <v>958</v>
      </c>
      <c r="I349" s="29" t="s">
        <v>0</v>
      </c>
    </row>
    <row r="350" spans="1:9">
      <c r="A350" s="17">
        <v>348</v>
      </c>
      <c r="B350" s="17">
        <v>348</v>
      </c>
      <c r="C350" s="6" t="s">
        <v>416</v>
      </c>
      <c r="D350" s="11">
        <v>2.3595369208264163</v>
      </c>
      <c r="E350" s="12">
        <v>0.21666522969343349</v>
      </c>
      <c r="F350" s="11">
        <v>0.11615704595951321</v>
      </c>
      <c r="G350" s="2" t="s">
        <v>954</v>
      </c>
      <c r="H350" s="2" t="s">
        <v>957</v>
      </c>
      <c r="I350" s="29" t="s">
        <v>1</v>
      </c>
    </row>
    <row r="351" spans="1:9">
      <c r="A351" s="17">
        <v>349</v>
      </c>
      <c r="B351" s="17">
        <v>349</v>
      </c>
      <c r="C351" s="6" t="s">
        <v>417</v>
      </c>
      <c r="D351" s="11">
        <v>1.9947217002985997</v>
      </c>
      <c r="E351" s="12">
        <v>0.36538122249811567</v>
      </c>
      <c r="F351" s="11">
        <v>0.13524712479520168</v>
      </c>
      <c r="G351" s="2" t="s">
        <v>953</v>
      </c>
      <c r="H351" s="2" t="s">
        <v>956</v>
      </c>
      <c r="I351" s="29" t="s">
        <v>1</v>
      </c>
    </row>
    <row r="352" spans="1:9">
      <c r="A352" s="17">
        <v>350</v>
      </c>
      <c r="B352" s="17">
        <v>350</v>
      </c>
      <c r="C352" s="6" t="s">
        <v>418</v>
      </c>
      <c r="D352" s="11">
        <v>2.9211584376529789</v>
      </c>
      <c r="E352" s="12">
        <v>0.35308454947215795</v>
      </c>
      <c r="F352" s="11">
        <v>0.1128990522061904</v>
      </c>
      <c r="G352" s="2" t="s">
        <v>955</v>
      </c>
      <c r="H352" s="2" t="s">
        <v>957</v>
      </c>
      <c r="I352" s="29" t="s">
        <v>1</v>
      </c>
    </row>
    <row r="353" spans="1:9">
      <c r="A353" s="17">
        <v>351</v>
      </c>
      <c r="B353" s="17">
        <v>351</v>
      </c>
      <c r="C353" s="6" t="s">
        <v>419</v>
      </c>
      <c r="D353" s="11">
        <v>2.8729189318759598</v>
      </c>
      <c r="E353" s="12">
        <v>0.33634901902377168</v>
      </c>
      <c r="F353" s="11">
        <v>0.14412353167412767</v>
      </c>
      <c r="G353" s="2" t="s">
        <v>953</v>
      </c>
      <c r="H353" s="2" t="s">
        <v>956</v>
      </c>
      <c r="I353" s="29" t="s">
        <v>2</v>
      </c>
    </row>
    <row r="354" spans="1:9">
      <c r="A354" s="17">
        <v>352</v>
      </c>
      <c r="B354" s="17">
        <v>352</v>
      </c>
      <c r="C354" s="6" t="s">
        <v>420</v>
      </c>
      <c r="D354" s="11">
        <v>2.8242051291230599</v>
      </c>
      <c r="E354" s="12">
        <v>0.17924368465418228</v>
      </c>
      <c r="F354" s="11">
        <v>0.12856480140325949</v>
      </c>
      <c r="G354" s="2" t="s">
        <v>954</v>
      </c>
      <c r="H354" s="2" t="s">
        <v>957</v>
      </c>
      <c r="I354" s="29" t="s">
        <v>1</v>
      </c>
    </row>
    <row r="355" spans="1:9">
      <c r="A355" s="17">
        <v>353</v>
      </c>
      <c r="B355" s="17">
        <v>353</v>
      </c>
      <c r="C355" s="6" t="s">
        <v>421</v>
      </c>
      <c r="D355" s="11">
        <v>1.9604173630572621</v>
      </c>
      <c r="E355" s="12">
        <v>0.46559083960590941</v>
      </c>
      <c r="F355" s="11">
        <v>0.10702264825849489</v>
      </c>
      <c r="G355" s="2" t="s">
        <v>953</v>
      </c>
      <c r="H355" s="2" t="s">
        <v>957</v>
      </c>
      <c r="I355" s="29" t="s">
        <v>1</v>
      </c>
    </row>
    <row r="356" spans="1:9">
      <c r="A356" s="17">
        <v>354</v>
      </c>
      <c r="B356" s="17">
        <v>354</v>
      </c>
      <c r="C356" s="6" t="s">
        <v>422</v>
      </c>
      <c r="D356" s="11">
        <v>3.1179755134284495</v>
      </c>
      <c r="E356" s="12">
        <v>0.37932736361898423</v>
      </c>
      <c r="F356" s="11">
        <v>0.14062194508878384</v>
      </c>
      <c r="G356" s="2" t="s">
        <v>954</v>
      </c>
      <c r="H356" s="2" t="s">
        <v>957</v>
      </c>
      <c r="I356" s="29" t="s">
        <v>0</v>
      </c>
    </row>
    <row r="357" spans="1:9">
      <c r="A357" s="17">
        <v>355</v>
      </c>
      <c r="B357" s="17">
        <v>355</v>
      </c>
      <c r="C357" s="6" t="s">
        <v>423</v>
      </c>
      <c r="D357" s="11">
        <v>3.500264265726786</v>
      </c>
      <c r="E357" s="12">
        <v>0.35828657644987105</v>
      </c>
      <c r="F357" s="11">
        <v>0.13810420582498956</v>
      </c>
      <c r="G357" s="2" t="s">
        <v>953</v>
      </c>
      <c r="H357" s="2" t="s">
        <v>956</v>
      </c>
      <c r="I357" s="29" t="s">
        <v>0</v>
      </c>
    </row>
    <row r="358" spans="1:9">
      <c r="A358" s="17">
        <v>356</v>
      </c>
      <c r="B358" s="17">
        <v>356</v>
      </c>
      <c r="C358" s="6" t="s">
        <v>424</v>
      </c>
      <c r="D358" s="11">
        <v>1.8679213681529507</v>
      </c>
      <c r="E358" s="12">
        <v>0.3459347830655024</v>
      </c>
      <c r="F358" s="11">
        <v>0.1165911016601931</v>
      </c>
      <c r="G358" s="2" t="s">
        <v>953</v>
      </c>
      <c r="H358" s="2" t="s">
        <v>956</v>
      </c>
      <c r="I358" s="29" t="s">
        <v>1</v>
      </c>
    </row>
    <row r="359" spans="1:9">
      <c r="A359" s="17">
        <v>357</v>
      </c>
      <c r="B359" s="17">
        <v>357</v>
      </c>
      <c r="C359" s="6" t="s">
        <v>425</v>
      </c>
      <c r="D359" s="11">
        <v>2.8606774886206257</v>
      </c>
      <c r="E359" s="12">
        <v>0.26782152525146374</v>
      </c>
      <c r="F359" s="11">
        <v>0.15365120610394661</v>
      </c>
      <c r="G359" s="2" t="s">
        <v>955</v>
      </c>
      <c r="H359" s="2" t="s">
        <v>958</v>
      </c>
      <c r="I359" s="29" t="s">
        <v>1</v>
      </c>
    </row>
    <row r="360" spans="1:9">
      <c r="A360" s="17">
        <v>358</v>
      </c>
      <c r="B360" s="18">
        <v>358</v>
      </c>
      <c r="C360" s="6" t="s">
        <v>426</v>
      </c>
      <c r="D360" s="11">
        <v>1.7004177318953442</v>
      </c>
      <c r="E360" s="12">
        <v>0.3748079545245564</v>
      </c>
      <c r="F360" s="11">
        <v>0.12635169692939235</v>
      </c>
      <c r="G360" s="2" t="s">
        <v>955</v>
      </c>
      <c r="H360" s="2" t="s">
        <v>958</v>
      </c>
      <c r="I360" s="29" t="s">
        <v>1</v>
      </c>
    </row>
    <row r="361" spans="1:9">
      <c r="A361" s="18">
        <v>359</v>
      </c>
      <c r="B361" s="19">
        <v>359</v>
      </c>
      <c r="C361" s="21" t="s">
        <v>952</v>
      </c>
      <c r="D361" s="25">
        <v>0.79521386881917699</v>
      </c>
      <c r="E361" s="34">
        <v>9.1838216105941672E-2</v>
      </c>
      <c r="F361" s="25">
        <v>0.12876227926708089</v>
      </c>
      <c r="G361" s="19" t="s">
        <v>955</v>
      </c>
      <c r="H361" s="19" t="s">
        <v>957</v>
      </c>
      <c r="I361" s="30" t="s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F24"/>
  <sheetViews>
    <sheetView workbookViewId="0">
      <selection activeCell="F2" sqref="F2"/>
    </sheetView>
  </sheetViews>
  <sheetFormatPr defaultRowHeight="14.4"/>
  <cols>
    <col min="1" max="1" width="18.6640625" bestFit="1" customWidth="1"/>
    <col min="2" max="2" width="16.109375" bestFit="1" customWidth="1"/>
    <col min="3" max="3" width="20.77734375" bestFit="1" customWidth="1"/>
    <col min="4" max="4" width="26.33203125" bestFit="1" customWidth="1"/>
    <col min="5" max="5" width="53.77734375" bestFit="1" customWidth="1"/>
    <col min="6" max="6" width="18.88671875" bestFit="1" customWidth="1"/>
    <col min="7" max="7" width="11.33203125" bestFit="1" customWidth="1"/>
  </cols>
  <sheetData>
    <row r="2" spans="1:6" ht="17.399999999999999">
      <c r="A2" s="49" t="s">
        <v>487</v>
      </c>
      <c r="B2" s="49" t="s">
        <v>488</v>
      </c>
      <c r="C2" s="49" t="s">
        <v>489</v>
      </c>
      <c r="D2" s="49" t="s">
        <v>490</v>
      </c>
      <c r="E2" s="49" t="s">
        <v>491</v>
      </c>
      <c r="F2" s="49" t="s">
        <v>492</v>
      </c>
    </row>
    <row r="3" spans="1:6">
      <c r="A3" s="17">
        <v>1002</v>
      </c>
      <c r="B3" s="2" t="s">
        <v>507</v>
      </c>
      <c r="C3" s="2" t="s">
        <v>568</v>
      </c>
      <c r="D3" s="2" t="s">
        <v>494</v>
      </c>
      <c r="E3" s="14" t="s">
        <v>532</v>
      </c>
      <c r="F3" s="20" t="s">
        <v>548</v>
      </c>
    </row>
    <row r="4" spans="1:6">
      <c r="A4" s="17">
        <v>1003</v>
      </c>
      <c r="B4" s="2" t="s">
        <v>508</v>
      </c>
      <c r="C4" s="2" t="s">
        <v>569</v>
      </c>
      <c r="D4" s="2" t="s">
        <v>494</v>
      </c>
      <c r="E4" s="14" t="s">
        <v>533</v>
      </c>
      <c r="F4" s="20" t="s">
        <v>547</v>
      </c>
    </row>
    <row r="5" spans="1:6">
      <c r="A5" s="17">
        <v>1004</v>
      </c>
      <c r="B5" s="2" t="s">
        <v>509</v>
      </c>
      <c r="C5" s="2" t="s">
        <v>570</v>
      </c>
      <c r="D5" s="2" t="s">
        <v>494</v>
      </c>
      <c r="E5" s="14" t="s">
        <v>534</v>
      </c>
      <c r="F5" s="20" t="s">
        <v>548</v>
      </c>
    </row>
    <row r="6" spans="1:6">
      <c r="A6" s="17">
        <v>1005</v>
      </c>
      <c r="B6" s="2" t="s">
        <v>510</v>
      </c>
      <c r="C6" s="2" t="s">
        <v>571</v>
      </c>
      <c r="D6" s="2" t="s">
        <v>493</v>
      </c>
      <c r="E6" s="14" t="s">
        <v>535</v>
      </c>
      <c r="F6" s="20" t="s">
        <v>547</v>
      </c>
    </row>
    <row r="7" spans="1:6">
      <c r="A7" s="17">
        <v>1006</v>
      </c>
      <c r="B7" s="2" t="s">
        <v>511</v>
      </c>
      <c r="C7" s="2" t="s">
        <v>572</v>
      </c>
      <c r="D7" s="2" t="s">
        <v>494</v>
      </c>
      <c r="E7" s="14" t="s">
        <v>536</v>
      </c>
      <c r="F7" s="20" t="s">
        <v>547</v>
      </c>
    </row>
    <row r="8" spans="1:6" ht="28.8">
      <c r="A8" s="17">
        <v>1007</v>
      </c>
      <c r="B8" s="2" t="s">
        <v>512</v>
      </c>
      <c r="C8" s="2" t="s">
        <v>573</v>
      </c>
      <c r="D8" s="2" t="s">
        <v>494</v>
      </c>
      <c r="E8" s="14" t="s">
        <v>537</v>
      </c>
      <c r="F8" s="20" t="s">
        <v>549</v>
      </c>
    </row>
    <row r="9" spans="1:6">
      <c r="A9" s="17">
        <v>1008</v>
      </c>
      <c r="B9" s="2" t="s">
        <v>513</v>
      </c>
      <c r="C9" s="2" t="s">
        <v>574</v>
      </c>
      <c r="D9" s="2" t="s">
        <v>494</v>
      </c>
      <c r="E9" s="13" t="s">
        <v>538</v>
      </c>
      <c r="F9" s="20" t="s">
        <v>548</v>
      </c>
    </row>
    <row r="10" spans="1:6">
      <c r="A10" s="17">
        <v>1009</v>
      </c>
      <c r="B10" s="2" t="s">
        <v>514</v>
      </c>
      <c r="C10" s="2" t="s">
        <v>575</v>
      </c>
      <c r="D10" s="2" t="s">
        <v>494</v>
      </c>
      <c r="E10" s="13" t="s">
        <v>540</v>
      </c>
      <c r="F10" s="20" t="s">
        <v>547</v>
      </c>
    </row>
    <row r="11" spans="1:6">
      <c r="A11" s="17">
        <v>1010</v>
      </c>
      <c r="B11" s="2" t="s">
        <v>515</v>
      </c>
      <c r="C11" s="2" t="s">
        <v>576</v>
      </c>
      <c r="D11" s="2" t="s">
        <v>494</v>
      </c>
      <c r="E11" s="13" t="s">
        <v>541</v>
      </c>
      <c r="F11" s="20" t="s">
        <v>548</v>
      </c>
    </row>
    <row r="12" spans="1:6">
      <c r="A12" s="17">
        <v>1011</v>
      </c>
      <c r="B12" s="2" t="s">
        <v>516</v>
      </c>
      <c r="C12" s="2" t="s">
        <v>577</v>
      </c>
      <c r="D12" s="2" t="s">
        <v>522</v>
      </c>
      <c r="E12" s="13" t="s">
        <v>539</v>
      </c>
      <c r="F12" s="20" t="s">
        <v>547</v>
      </c>
    </row>
    <row r="13" spans="1:6">
      <c r="A13" s="17">
        <v>1012</v>
      </c>
      <c r="B13" s="2" t="s">
        <v>517</v>
      </c>
      <c r="C13" s="2" t="s">
        <v>578</v>
      </c>
      <c r="D13" s="2" t="s">
        <v>522</v>
      </c>
      <c r="E13" s="13" t="s">
        <v>542</v>
      </c>
      <c r="F13" s="20" t="s">
        <v>548</v>
      </c>
    </row>
    <row r="14" spans="1:6">
      <c r="A14" s="17">
        <v>1013</v>
      </c>
      <c r="B14" s="2" t="s">
        <v>518</v>
      </c>
      <c r="C14" s="2" t="s">
        <v>579</v>
      </c>
      <c r="D14" s="2" t="s">
        <v>523</v>
      </c>
      <c r="E14" s="13" t="s">
        <v>543</v>
      </c>
      <c r="F14" s="20" t="s">
        <v>548</v>
      </c>
    </row>
    <row r="15" spans="1:6">
      <c r="A15" s="17">
        <v>1014</v>
      </c>
      <c r="B15" s="2" t="s">
        <v>519</v>
      </c>
      <c r="C15" s="2" t="s">
        <v>580</v>
      </c>
      <c r="D15" s="2" t="s">
        <v>523</v>
      </c>
      <c r="E15" s="13" t="s">
        <v>544</v>
      </c>
      <c r="F15" s="20" t="s">
        <v>547</v>
      </c>
    </row>
    <row r="16" spans="1:6">
      <c r="A16" s="17">
        <v>1015</v>
      </c>
      <c r="B16" s="2" t="s">
        <v>520</v>
      </c>
      <c r="C16" s="2" t="s">
        <v>581</v>
      </c>
      <c r="D16" s="2" t="s">
        <v>524</v>
      </c>
      <c r="E16" s="13" t="s">
        <v>545</v>
      </c>
      <c r="F16" s="20" t="s">
        <v>548</v>
      </c>
    </row>
    <row r="17" spans="1:6">
      <c r="A17" s="17">
        <v>1016</v>
      </c>
      <c r="B17" s="2" t="s">
        <v>521</v>
      </c>
      <c r="C17" s="2" t="s">
        <v>584</v>
      </c>
      <c r="D17" s="2" t="s">
        <v>524</v>
      </c>
      <c r="E17" s="13" t="s">
        <v>561</v>
      </c>
      <c r="F17" s="20" t="s">
        <v>547</v>
      </c>
    </row>
    <row r="18" spans="1:6">
      <c r="A18" s="17">
        <v>1017</v>
      </c>
      <c r="B18" s="2" t="s">
        <v>525</v>
      </c>
      <c r="C18" s="2" t="s">
        <v>582</v>
      </c>
      <c r="D18" s="2" t="s">
        <v>494</v>
      </c>
      <c r="E18" s="13" t="s">
        <v>546</v>
      </c>
      <c r="F18" s="20" t="s">
        <v>549</v>
      </c>
    </row>
    <row r="19" spans="1:6">
      <c r="A19" s="17">
        <v>1018</v>
      </c>
      <c r="B19" s="2" t="s">
        <v>526</v>
      </c>
      <c r="C19" s="2" t="s">
        <v>583</v>
      </c>
      <c r="D19" s="2" t="s">
        <v>494</v>
      </c>
      <c r="E19" s="13" t="s">
        <v>562</v>
      </c>
      <c r="F19" s="20" t="s">
        <v>547</v>
      </c>
    </row>
    <row r="20" spans="1:6">
      <c r="A20" s="17">
        <v>1019</v>
      </c>
      <c r="B20" s="2" t="s">
        <v>527</v>
      </c>
      <c r="C20" s="2" t="s">
        <v>585</v>
      </c>
      <c r="D20" s="2" t="s">
        <v>494</v>
      </c>
      <c r="E20" s="13" t="s">
        <v>563</v>
      </c>
      <c r="F20" s="20" t="s">
        <v>549</v>
      </c>
    </row>
    <row r="21" spans="1:6">
      <c r="A21" s="17">
        <v>1020</v>
      </c>
      <c r="B21" s="2" t="s">
        <v>528</v>
      </c>
      <c r="C21" s="2" t="s">
        <v>586</v>
      </c>
      <c r="D21" s="2" t="s">
        <v>494</v>
      </c>
      <c r="E21" s="14" t="s">
        <v>564</v>
      </c>
      <c r="F21" s="20" t="s">
        <v>549</v>
      </c>
    </row>
    <row r="22" spans="1:6" ht="28.8">
      <c r="A22" s="17">
        <v>1021</v>
      </c>
      <c r="B22" s="2" t="s">
        <v>529</v>
      </c>
      <c r="C22" s="2" t="s">
        <v>587</v>
      </c>
      <c r="D22" s="2" t="s">
        <v>493</v>
      </c>
      <c r="E22" s="14" t="s">
        <v>565</v>
      </c>
      <c r="F22" s="20" t="s">
        <v>549</v>
      </c>
    </row>
    <row r="23" spans="1:6">
      <c r="A23" s="17">
        <v>1022</v>
      </c>
      <c r="B23" s="2" t="s">
        <v>530</v>
      </c>
      <c r="C23" s="2" t="s">
        <v>588</v>
      </c>
      <c r="D23" s="2" t="s">
        <v>494</v>
      </c>
      <c r="E23" s="13" t="s">
        <v>566</v>
      </c>
      <c r="F23" s="20" t="s">
        <v>548</v>
      </c>
    </row>
    <row r="24" spans="1:6">
      <c r="A24" s="18">
        <v>1023</v>
      </c>
      <c r="B24" s="19" t="s">
        <v>531</v>
      </c>
      <c r="C24" s="19" t="s">
        <v>589</v>
      </c>
      <c r="D24" s="19" t="s">
        <v>494</v>
      </c>
      <c r="E24" s="35" t="s">
        <v>567</v>
      </c>
      <c r="F24" s="30" t="s">
        <v>548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1"/>
  <sheetViews>
    <sheetView workbookViewId="0">
      <selection activeCell="I2" sqref="I2"/>
    </sheetView>
  </sheetViews>
  <sheetFormatPr defaultRowHeight="14.4"/>
  <cols>
    <col min="1" max="1" width="18.21875" bestFit="1" customWidth="1"/>
    <col min="2" max="2" width="23.33203125" bestFit="1" customWidth="1"/>
    <col min="3" max="3" width="24.33203125" bestFit="1" customWidth="1"/>
    <col min="4" max="4" width="10.44140625" customWidth="1"/>
    <col min="5" max="5" width="16.6640625" bestFit="1" customWidth="1"/>
    <col min="6" max="6" width="15" bestFit="1" customWidth="1"/>
    <col min="7" max="7" width="17.5546875" bestFit="1" customWidth="1"/>
    <col min="8" max="8" width="14.6640625" bestFit="1" customWidth="1"/>
    <col min="9" max="9" width="10.44140625" customWidth="1"/>
  </cols>
  <sheetData>
    <row r="2" spans="1:9" ht="17.399999999999999">
      <c r="A2" s="49" t="s">
        <v>39</v>
      </c>
      <c r="B2" s="49" t="s">
        <v>37</v>
      </c>
      <c r="C2" s="49" t="s">
        <v>40</v>
      </c>
      <c r="D2" s="49" t="s">
        <v>41</v>
      </c>
      <c r="E2" s="49" t="s">
        <v>42</v>
      </c>
      <c r="F2" s="49" t="s">
        <v>43</v>
      </c>
      <c r="G2" s="49" t="s">
        <v>44</v>
      </c>
      <c r="H2" s="49" t="s">
        <v>45</v>
      </c>
      <c r="I2" s="49" t="s">
        <v>550</v>
      </c>
    </row>
    <row r="3" spans="1:9">
      <c r="A3" s="17">
        <v>1</v>
      </c>
      <c r="B3" s="2">
        <v>15</v>
      </c>
      <c r="C3" s="2">
        <v>300</v>
      </c>
      <c r="D3" s="2">
        <v>1002</v>
      </c>
      <c r="E3" s="9">
        <v>50</v>
      </c>
      <c r="F3" s="5">
        <v>5807.4676882865397</v>
      </c>
      <c r="G3" s="12">
        <v>5.4754999714417496E-2</v>
      </c>
      <c r="H3" s="12">
        <v>4.5605709425523671</v>
      </c>
      <c r="I3" s="31">
        <v>14803.902227303672</v>
      </c>
    </row>
    <row r="4" spans="1:9">
      <c r="A4" s="17">
        <v>2</v>
      </c>
      <c r="B4" s="2">
        <v>350</v>
      </c>
      <c r="C4" s="2">
        <v>21</v>
      </c>
      <c r="D4" s="2">
        <v>1006</v>
      </c>
      <c r="E4" s="9">
        <v>96</v>
      </c>
      <c r="F4" s="5">
        <v>1915.8340087319239</v>
      </c>
      <c r="G4" s="12">
        <v>6.3782069068905545E-2</v>
      </c>
      <c r="H4" s="12">
        <v>3.731820858384872</v>
      </c>
      <c r="I4" s="31">
        <v>15510.831949795294</v>
      </c>
    </row>
    <row r="5" spans="1:9">
      <c r="A5" s="17">
        <v>3</v>
      </c>
      <c r="B5" s="2">
        <v>80</v>
      </c>
      <c r="C5" s="2">
        <v>257</v>
      </c>
      <c r="D5" s="2">
        <v>1018</v>
      </c>
      <c r="E5" s="9">
        <v>34</v>
      </c>
      <c r="F5" s="5">
        <v>3881.2350755774396</v>
      </c>
      <c r="G5" s="12">
        <v>7.9032537437227435E-2</v>
      </c>
      <c r="H5" s="12">
        <v>2.4433016545878492</v>
      </c>
      <c r="I5" s="31">
        <v>15971.554163915618</v>
      </c>
    </row>
    <row r="6" spans="1:9">
      <c r="A6" s="17">
        <v>4</v>
      </c>
      <c r="B6" s="2">
        <v>226</v>
      </c>
      <c r="C6" s="2">
        <v>134</v>
      </c>
      <c r="D6" s="2">
        <v>1015</v>
      </c>
      <c r="E6" s="9">
        <v>84</v>
      </c>
      <c r="F6" s="5">
        <v>2836.4330021026553</v>
      </c>
      <c r="G6" s="12">
        <v>4.9057113460433899E-2</v>
      </c>
      <c r="H6" s="12">
        <v>3.2273884167261078</v>
      </c>
      <c r="I6" s="31">
        <v>13495.924391081109</v>
      </c>
    </row>
    <row r="7" spans="1:9">
      <c r="A7" s="17">
        <v>5</v>
      </c>
      <c r="B7" s="2">
        <v>307</v>
      </c>
      <c r="C7" s="2">
        <v>88</v>
      </c>
      <c r="D7" s="2">
        <v>1021</v>
      </c>
      <c r="E7" s="9">
        <v>61</v>
      </c>
      <c r="F7" s="5">
        <v>5790.302430554636</v>
      </c>
      <c r="G7" s="12">
        <v>7.9680293979321137E-2</v>
      </c>
      <c r="H7" s="12">
        <v>3.776266723755207</v>
      </c>
      <c r="I7" s="31">
        <v>17733.605381708378</v>
      </c>
    </row>
    <row r="8" spans="1:9">
      <c r="A8" s="17">
        <v>6</v>
      </c>
      <c r="B8" s="2">
        <v>222</v>
      </c>
      <c r="C8" s="2">
        <v>89</v>
      </c>
      <c r="D8" s="2">
        <v>1012</v>
      </c>
      <c r="E8" s="9">
        <v>51</v>
      </c>
      <c r="F8" s="5">
        <v>6777.685921064819</v>
      </c>
      <c r="G8" s="12">
        <v>6.63530116388516E-2</v>
      </c>
      <c r="H8" s="12">
        <v>0.85851798156334569</v>
      </c>
      <c r="I8" s="31">
        <v>15552.582481249749</v>
      </c>
    </row>
    <row r="9" spans="1:9">
      <c r="A9" s="17">
        <v>7</v>
      </c>
      <c r="B9" s="2">
        <v>103</v>
      </c>
      <c r="C9" s="2">
        <v>102</v>
      </c>
      <c r="D9" s="2">
        <v>1022</v>
      </c>
      <c r="E9" s="9">
        <v>22</v>
      </c>
      <c r="F9" s="5">
        <v>2260.035543349165</v>
      </c>
      <c r="G9" s="12">
        <v>8.9868437294056636E-2</v>
      </c>
      <c r="H9" s="12">
        <v>2.0030682343382797</v>
      </c>
      <c r="I9" s="31">
        <v>15311.003453261412</v>
      </c>
    </row>
    <row r="10" spans="1:9">
      <c r="A10" s="17">
        <v>8</v>
      </c>
      <c r="B10" s="2">
        <v>268</v>
      </c>
      <c r="C10" s="2">
        <v>339</v>
      </c>
      <c r="D10" s="2">
        <v>1002</v>
      </c>
      <c r="E10" s="9">
        <v>87</v>
      </c>
      <c r="F10" s="5">
        <v>6311.8741063767238</v>
      </c>
      <c r="G10" s="12">
        <v>7.960620243909361E-2</v>
      </c>
      <c r="H10" s="12">
        <v>3.4056737985189831</v>
      </c>
      <c r="I10" s="31">
        <v>15906.210670509074</v>
      </c>
    </row>
    <row r="11" spans="1:9">
      <c r="A11" s="17">
        <v>9</v>
      </c>
      <c r="B11" s="2">
        <v>247</v>
      </c>
      <c r="C11" s="2">
        <v>2</v>
      </c>
      <c r="D11" s="2">
        <v>1006</v>
      </c>
      <c r="E11" s="9">
        <v>96</v>
      </c>
      <c r="F11" s="5">
        <v>4622.1266378911032</v>
      </c>
      <c r="G11" s="12">
        <v>6.4958096840995128E-2</v>
      </c>
      <c r="H11" s="12">
        <v>2.9425480077883823</v>
      </c>
      <c r="I11" s="31">
        <v>15918.407535518247</v>
      </c>
    </row>
    <row r="12" spans="1:9">
      <c r="A12" s="17">
        <v>10</v>
      </c>
      <c r="B12" s="2">
        <v>124</v>
      </c>
      <c r="C12" s="2">
        <v>100</v>
      </c>
      <c r="D12" s="2">
        <v>1003</v>
      </c>
      <c r="E12" s="9">
        <v>85</v>
      </c>
      <c r="F12" s="5">
        <v>7284.7060826456591</v>
      </c>
      <c r="G12" s="12">
        <v>8.4212121669109907E-2</v>
      </c>
      <c r="H12" s="12">
        <v>2.4347677450088487</v>
      </c>
      <c r="I12" s="31">
        <v>16830.152634956368</v>
      </c>
    </row>
    <row r="13" spans="1:9">
      <c r="A13" s="17">
        <v>11</v>
      </c>
      <c r="B13" s="2">
        <v>16</v>
      </c>
      <c r="C13" s="2">
        <v>251</v>
      </c>
      <c r="D13" s="2">
        <v>1004</v>
      </c>
      <c r="E13" s="9">
        <v>87</v>
      </c>
      <c r="F13" s="5">
        <v>3022.8172073970718</v>
      </c>
      <c r="G13" s="12">
        <v>7.6166341773272139E-2</v>
      </c>
      <c r="H13" s="12">
        <v>2.199690775321351</v>
      </c>
      <c r="I13" s="31">
        <v>15926.744944208087</v>
      </c>
    </row>
    <row r="14" spans="1:9">
      <c r="A14" s="17">
        <v>12</v>
      </c>
      <c r="B14" s="2">
        <v>292</v>
      </c>
      <c r="C14" s="2">
        <v>49</v>
      </c>
      <c r="D14" s="2">
        <v>1011</v>
      </c>
      <c r="E14" s="9">
        <v>83</v>
      </c>
      <c r="F14" s="5">
        <v>5907.9585858575747</v>
      </c>
      <c r="G14" s="12">
        <v>5.8749264485298769E-2</v>
      </c>
      <c r="H14" s="12">
        <v>2.9847662066878731</v>
      </c>
      <c r="I14" s="31">
        <v>16167.527300130507</v>
      </c>
    </row>
    <row r="15" spans="1:9">
      <c r="A15" s="17">
        <v>13</v>
      </c>
      <c r="B15" s="2">
        <v>334</v>
      </c>
      <c r="C15" s="2">
        <v>31</v>
      </c>
      <c r="D15" s="2">
        <v>1008</v>
      </c>
      <c r="E15" s="9">
        <v>66</v>
      </c>
      <c r="F15" s="5">
        <v>1521.418440515351</v>
      </c>
      <c r="G15" s="12">
        <v>0.1246301941272337</v>
      </c>
      <c r="H15" s="12">
        <v>2.5376993373606003</v>
      </c>
      <c r="I15" s="31">
        <v>14509.557498949482</v>
      </c>
    </row>
    <row r="16" spans="1:9">
      <c r="A16" s="17">
        <v>14</v>
      </c>
      <c r="B16" s="2">
        <v>44</v>
      </c>
      <c r="C16" s="2">
        <v>206</v>
      </c>
      <c r="D16" s="2">
        <v>1020</v>
      </c>
      <c r="E16" s="9">
        <v>42</v>
      </c>
      <c r="F16" s="5">
        <v>7048.9665255076552</v>
      </c>
      <c r="G16" s="12">
        <v>5.5411999551209734E-2</v>
      </c>
      <c r="H16" s="12">
        <v>1.5475243481625331</v>
      </c>
      <c r="I16" s="31">
        <v>16947.771332688182</v>
      </c>
    </row>
    <row r="17" spans="1:9">
      <c r="A17" s="17">
        <v>15</v>
      </c>
      <c r="B17" s="2">
        <v>169</v>
      </c>
      <c r="C17" s="2">
        <v>338</v>
      </c>
      <c r="D17" s="2">
        <v>1002</v>
      </c>
      <c r="E17" s="9">
        <v>15</v>
      </c>
      <c r="F17" s="5">
        <v>4517.6439173287299</v>
      </c>
      <c r="G17" s="12">
        <v>8.9209646871380388E-2</v>
      </c>
      <c r="H17" s="12">
        <v>0.83941213836958939</v>
      </c>
      <c r="I17" s="31">
        <v>13696.005815635919</v>
      </c>
    </row>
    <row r="18" spans="1:9">
      <c r="A18" s="17">
        <v>16</v>
      </c>
      <c r="B18" s="2">
        <v>44</v>
      </c>
      <c r="C18" s="2">
        <v>157</v>
      </c>
      <c r="D18" s="2">
        <v>1005</v>
      </c>
      <c r="E18" s="9">
        <v>61</v>
      </c>
      <c r="F18" s="5">
        <v>2806.7812550347817</v>
      </c>
      <c r="G18" s="12">
        <v>7.1791287136760362E-2</v>
      </c>
      <c r="H18" s="12">
        <v>2.5480942713692731</v>
      </c>
      <c r="I18" s="31">
        <v>14880.319257626445</v>
      </c>
    </row>
    <row r="19" spans="1:9">
      <c r="A19" s="17">
        <v>17</v>
      </c>
      <c r="B19" s="2">
        <v>148</v>
      </c>
      <c r="C19" s="2">
        <v>281</v>
      </c>
      <c r="D19" s="2">
        <v>1008</v>
      </c>
      <c r="E19" s="9">
        <v>42</v>
      </c>
      <c r="F19" s="5">
        <v>4904.3334440893495</v>
      </c>
      <c r="G19" s="12">
        <v>8.823024478704028E-2</v>
      </c>
      <c r="H19" s="12">
        <v>3.9097585623800843</v>
      </c>
      <c r="I19" s="31">
        <v>17545.639926156047</v>
      </c>
    </row>
    <row r="20" spans="1:9">
      <c r="A20" s="17">
        <v>18</v>
      </c>
      <c r="B20" s="2">
        <v>268</v>
      </c>
      <c r="C20" s="2">
        <v>188</v>
      </c>
      <c r="D20" s="2">
        <v>1017</v>
      </c>
      <c r="E20" s="9">
        <v>20</v>
      </c>
      <c r="F20" s="5">
        <v>5705.2384837465588</v>
      </c>
      <c r="G20" s="12">
        <v>5.1255468983866737E-2</v>
      </c>
      <c r="H20" s="12">
        <v>2.4047106833301588</v>
      </c>
      <c r="I20" s="31">
        <v>14846.686998843699</v>
      </c>
    </row>
    <row r="21" spans="1:9">
      <c r="A21" s="17">
        <v>19</v>
      </c>
      <c r="B21" s="2">
        <v>249</v>
      </c>
      <c r="C21" s="2">
        <v>343</v>
      </c>
      <c r="D21" s="2">
        <v>1013</v>
      </c>
      <c r="E21" s="9">
        <v>23</v>
      </c>
      <c r="F21" s="5">
        <v>5619.4457046189718</v>
      </c>
      <c r="G21" s="12">
        <v>7.3942288922693111E-2</v>
      </c>
      <c r="H21" s="12">
        <v>1.8708545857259016</v>
      </c>
      <c r="I21" s="31">
        <v>15698.538333326189</v>
      </c>
    </row>
    <row r="22" spans="1:9">
      <c r="A22" s="17">
        <v>20</v>
      </c>
      <c r="B22" s="2">
        <v>90</v>
      </c>
      <c r="C22" s="2">
        <v>137</v>
      </c>
      <c r="D22" s="2">
        <v>1017</v>
      </c>
      <c r="E22" s="9">
        <v>79</v>
      </c>
      <c r="F22" s="5">
        <v>1143.1209571578229</v>
      </c>
      <c r="G22" s="12">
        <v>8.6414397123802333E-2</v>
      </c>
      <c r="H22" s="12">
        <v>2.2776224375967833</v>
      </c>
      <c r="I22" s="31">
        <v>16001.323894378776</v>
      </c>
    </row>
    <row r="23" spans="1:9">
      <c r="A23" s="17">
        <v>21</v>
      </c>
      <c r="B23" s="2">
        <v>132</v>
      </c>
      <c r="C23" s="2">
        <v>128</v>
      </c>
      <c r="D23" s="2">
        <v>1015</v>
      </c>
      <c r="E23" s="9">
        <v>85</v>
      </c>
      <c r="F23" s="5">
        <v>4122.6649701065589</v>
      </c>
      <c r="G23" s="12">
        <v>8.5361435835578592E-2</v>
      </c>
      <c r="H23" s="12">
        <v>1.4677303971745279</v>
      </c>
      <c r="I23" s="31">
        <v>14316.558058980638</v>
      </c>
    </row>
    <row r="24" spans="1:9">
      <c r="A24" s="17">
        <v>22</v>
      </c>
      <c r="B24" s="2">
        <v>67</v>
      </c>
      <c r="C24" s="2">
        <v>333</v>
      </c>
      <c r="D24" s="2">
        <v>1001</v>
      </c>
      <c r="E24" s="9">
        <v>26</v>
      </c>
      <c r="F24" s="5">
        <v>1621.7040922033057</v>
      </c>
      <c r="G24" s="12">
        <v>7.1042193112474339E-2</v>
      </c>
      <c r="H24" s="12">
        <v>2.4210148756162018</v>
      </c>
      <c r="I24" s="31">
        <v>16437.553050472536</v>
      </c>
    </row>
    <row r="25" spans="1:9">
      <c r="A25" s="17">
        <v>23</v>
      </c>
      <c r="B25" s="2">
        <v>179</v>
      </c>
      <c r="C25" s="2">
        <v>118</v>
      </c>
      <c r="D25" s="2">
        <v>1022</v>
      </c>
      <c r="E25" s="9">
        <v>81</v>
      </c>
      <c r="F25" s="5">
        <v>2773.0371563797753</v>
      </c>
      <c r="G25" s="12">
        <v>0.11050856917324708</v>
      </c>
      <c r="H25" s="12">
        <v>3.9319012131010642</v>
      </c>
      <c r="I25" s="31">
        <v>17290.586081052799</v>
      </c>
    </row>
    <row r="26" spans="1:9">
      <c r="A26" s="17">
        <v>24</v>
      </c>
      <c r="B26" s="2">
        <v>44</v>
      </c>
      <c r="C26" s="2">
        <v>217</v>
      </c>
      <c r="D26" s="2">
        <v>1023</v>
      </c>
      <c r="E26" s="9">
        <v>54</v>
      </c>
      <c r="F26" s="5">
        <v>5121.4270410532272</v>
      </c>
      <c r="G26" s="12">
        <v>6.6050402624453997E-2</v>
      </c>
      <c r="H26" s="12">
        <v>3.4235406444701586</v>
      </c>
      <c r="I26" s="31">
        <v>16053.626746706334</v>
      </c>
    </row>
    <row r="27" spans="1:9">
      <c r="A27" s="17">
        <v>25</v>
      </c>
      <c r="B27" s="2">
        <v>259</v>
      </c>
      <c r="C27" s="2">
        <v>58</v>
      </c>
      <c r="D27" s="2">
        <v>1011</v>
      </c>
      <c r="E27" s="9">
        <v>54</v>
      </c>
      <c r="F27" s="5">
        <v>7990.5843727824113</v>
      </c>
      <c r="G27" s="12">
        <v>3.3589548652229129E-2</v>
      </c>
      <c r="H27" s="12">
        <v>5.2958273062210353</v>
      </c>
      <c r="I27" s="31">
        <v>15197.386547860708</v>
      </c>
    </row>
    <row r="28" spans="1:9">
      <c r="A28" s="17">
        <v>26</v>
      </c>
      <c r="B28" s="2">
        <v>129</v>
      </c>
      <c r="C28" s="2">
        <v>357</v>
      </c>
      <c r="D28" s="2">
        <v>1006</v>
      </c>
      <c r="E28" s="9">
        <v>34</v>
      </c>
      <c r="F28" s="5">
        <v>4210.7301143682498</v>
      </c>
      <c r="G28" s="12">
        <v>6.2673115676146696E-2</v>
      </c>
      <c r="H28" s="12">
        <v>2.2998232453311904</v>
      </c>
      <c r="I28" s="31">
        <v>14843.012886539702</v>
      </c>
    </row>
    <row r="29" spans="1:9">
      <c r="A29" s="17">
        <v>27</v>
      </c>
      <c r="B29" s="2">
        <v>268</v>
      </c>
      <c r="C29" s="2">
        <v>223</v>
      </c>
      <c r="D29" s="2">
        <v>1004</v>
      </c>
      <c r="E29" s="9">
        <v>54</v>
      </c>
      <c r="F29" s="5">
        <v>4884.4518199252498</v>
      </c>
      <c r="G29" s="12">
        <v>5.0236915981143826E-2</v>
      </c>
      <c r="H29" s="12">
        <v>3.0801386515769811</v>
      </c>
      <c r="I29" s="31">
        <v>14500.017914160173</v>
      </c>
    </row>
    <row r="30" spans="1:9">
      <c r="A30" s="17">
        <v>28</v>
      </c>
      <c r="B30" s="2">
        <v>23</v>
      </c>
      <c r="C30" s="2">
        <v>309</v>
      </c>
      <c r="D30" s="2">
        <v>1008</v>
      </c>
      <c r="E30" s="9">
        <v>55</v>
      </c>
      <c r="F30" s="5">
        <v>8572.5611686024931</v>
      </c>
      <c r="G30" s="12">
        <v>0.10260627811919548</v>
      </c>
      <c r="H30" s="12">
        <v>1.2032424143705434</v>
      </c>
      <c r="I30" s="31">
        <v>14002.042576957512</v>
      </c>
    </row>
    <row r="31" spans="1:9">
      <c r="A31" s="17">
        <v>29</v>
      </c>
      <c r="B31" s="2">
        <v>142</v>
      </c>
      <c r="C31" s="2">
        <v>124</v>
      </c>
      <c r="D31" s="2">
        <v>1014</v>
      </c>
      <c r="E31" s="9">
        <v>54</v>
      </c>
      <c r="F31" s="5">
        <v>4802.8267888316414</v>
      </c>
      <c r="G31" s="12">
        <v>5.0475160692143251E-2</v>
      </c>
      <c r="H31" s="12">
        <v>3.213392805016547</v>
      </c>
      <c r="I31" s="31">
        <v>13827.110594483576</v>
      </c>
    </row>
    <row r="32" spans="1:9">
      <c r="A32" s="17">
        <v>30</v>
      </c>
      <c r="B32" s="2">
        <v>340</v>
      </c>
      <c r="C32" s="2">
        <v>137</v>
      </c>
      <c r="D32" s="2">
        <v>1013</v>
      </c>
      <c r="E32" s="9">
        <v>57</v>
      </c>
      <c r="F32" s="5">
        <v>7296.6857403111653</v>
      </c>
      <c r="G32" s="12">
        <v>8.6393345641111952E-2</v>
      </c>
      <c r="H32" s="12">
        <v>2.4057575095718495</v>
      </c>
      <c r="I32" s="31">
        <v>15256.252216731275</v>
      </c>
    </row>
    <row r="33" spans="1:9">
      <c r="A33" s="17">
        <v>31</v>
      </c>
      <c r="B33" s="2">
        <v>206</v>
      </c>
      <c r="C33" s="2">
        <v>250</v>
      </c>
      <c r="D33" s="2">
        <v>1022</v>
      </c>
      <c r="E33" s="9">
        <v>55</v>
      </c>
      <c r="F33" s="5">
        <v>6532.6935444222336</v>
      </c>
      <c r="G33" s="12">
        <v>8.9856387134999383E-2</v>
      </c>
      <c r="H33" s="12">
        <v>1.4387631473561489</v>
      </c>
      <c r="I33" s="31">
        <v>14150.219485217724</v>
      </c>
    </row>
    <row r="34" spans="1:9">
      <c r="A34" s="17">
        <v>32</v>
      </c>
      <c r="B34" s="2">
        <v>324</v>
      </c>
      <c r="C34" s="2">
        <v>202</v>
      </c>
      <c r="D34" s="2">
        <v>1011</v>
      </c>
      <c r="E34" s="9">
        <v>63</v>
      </c>
      <c r="F34" s="5">
        <v>-384.67075481143456</v>
      </c>
      <c r="G34" s="12">
        <v>6.5183517085527998E-2</v>
      </c>
      <c r="H34" s="12">
        <v>3.4205392368641516</v>
      </c>
      <c r="I34" s="31">
        <v>16206.499719355099</v>
      </c>
    </row>
    <row r="35" spans="1:9">
      <c r="A35" s="17">
        <v>33</v>
      </c>
      <c r="B35" s="2">
        <v>252</v>
      </c>
      <c r="C35" s="2">
        <v>340</v>
      </c>
      <c r="D35" s="2">
        <v>1012</v>
      </c>
      <c r="E35" s="9">
        <v>82</v>
      </c>
      <c r="F35" s="5">
        <v>815.15479076138672</v>
      </c>
      <c r="G35" s="12">
        <v>5.802528705760196E-2</v>
      </c>
      <c r="H35" s="12">
        <v>3.617878626251859</v>
      </c>
      <c r="I35" s="31">
        <v>15563.434834147676</v>
      </c>
    </row>
    <row r="36" spans="1:9">
      <c r="A36" s="17">
        <v>34</v>
      </c>
      <c r="B36" s="2">
        <v>12</v>
      </c>
      <c r="C36" s="2">
        <v>246</v>
      </c>
      <c r="D36" s="2">
        <v>1002</v>
      </c>
      <c r="E36" s="9">
        <v>35</v>
      </c>
      <c r="F36" s="5">
        <v>5850.3640778503332</v>
      </c>
      <c r="G36" s="12">
        <v>0.10358916458687745</v>
      </c>
      <c r="H36" s="12">
        <v>1.9186166651444911</v>
      </c>
      <c r="I36" s="31">
        <v>16445.924251165172</v>
      </c>
    </row>
    <row r="37" spans="1:9">
      <c r="A37" s="17">
        <v>35</v>
      </c>
      <c r="B37" s="2">
        <v>266</v>
      </c>
      <c r="C37" s="2">
        <v>93</v>
      </c>
      <c r="D37" s="2">
        <v>1005</v>
      </c>
      <c r="E37" s="9">
        <v>84</v>
      </c>
      <c r="F37" s="5">
        <v>4551.5555636433937</v>
      </c>
      <c r="G37" s="12">
        <v>3.6145247045054563E-2</v>
      </c>
      <c r="H37" s="12">
        <v>2.3564593264290399</v>
      </c>
      <c r="I37" s="31">
        <v>15204.615988458874</v>
      </c>
    </row>
    <row r="38" spans="1:9">
      <c r="A38" s="17">
        <v>36</v>
      </c>
      <c r="B38" s="2">
        <v>356</v>
      </c>
      <c r="C38" s="2">
        <v>48</v>
      </c>
      <c r="D38" s="2">
        <v>1003</v>
      </c>
      <c r="E38" s="9">
        <v>36</v>
      </c>
      <c r="F38" s="5">
        <v>4999.2722310884865</v>
      </c>
      <c r="G38" s="12">
        <v>8.7830315010136106E-2</v>
      </c>
      <c r="H38" s="12">
        <v>4.4183138305776808</v>
      </c>
      <c r="I38" s="31">
        <v>16361.585556186958</v>
      </c>
    </row>
    <row r="39" spans="1:9">
      <c r="A39" s="17">
        <v>37</v>
      </c>
      <c r="B39" s="2">
        <v>126</v>
      </c>
      <c r="C39" s="2">
        <v>150</v>
      </c>
      <c r="D39" s="2">
        <v>1015</v>
      </c>
      <c r="E39" s="9">
        <v>69</v>
      </c>
      <c r="F39" s="5">
        <v>7485.5789718089518</v>
      </c>
      <c r="G39" s="12">
        <v>7.6451577265173543E-2</v>
      </c>
      <c r="H39" s="12">
        <v>3.0135766854265786</v>
      </c>
      <c r="I39" s="31">
        <v>15897.181037761959</v>
      </c>
    </row>
    <row r="40" spans="1:9">
      <c r="A40" s="17">
        <v>38</v>
      </c>
      <c r="B40" s="2">
        <v>55</v>
      </c>
      <c r="C40" s="2">
        <v>69</v>
      </c>
      <c r="D40" s="2">
        <v>1013</v>
      </c>
      <c r="E40" s="9">
        <v>92</v>
      </c>
      <c r="F40" s="5">
        <v>5660.2686918945046</v>
      </c>
      <c r="G40" s="12">
        <v>9.5992047440516759E-2</v>
      </c>
      <c r="H40" s="12">
        <v>3.8256306496088475</v>
      </c>
      <c r="I40" s="31">
        <v>16266.436492314289</v>
      </c>
    </row>
    <row r="41" spans="1:9">
      <c r="A41" s="17">
        <v>39</v>
      </c>
      <c r="B41" s="2">
        <v>180</v>
      </c>
      <c r="C41" s="2">
        <v>333</v>
      </c>
      <c r="D41" s="2">
        <v>1018</v>
      </c>
      <c r="E41" s="9">
        <v>57</v>
      </c>
      <c r="F41" s="5">
        <v>2707.4213041664343</v>
      </c>
      <c r="G41" s="12">
        <v>3.3772769142955072E-2</v>
      </c>
      <c r="H41" s="12">
        <v>3.9709447976371668</v>
      </c>
      <c r="I41" s="31">
        <v>15344.041791995016</v>
      </c>
    </row>
    <row r="42" spans="1:9">
      <c r="A42" s="17">
        <v>40</v>
      </c>
      <c r="B42" s="2">
        <v>147</v>
      </c>
      <c r="C42" s="2">
        <v>336</v>
      </c>
      <c r="D42" s="2">
        <v>1003</v>
      </c>
      <c r="E42" s="9">
        <v>22</v>
      </c>
      <c r="F42" s="5">
        <v>4893.1140339295389</v>
      </c>
      <c r="G42" s="12">
        <v>7.2813881056275565E-2</v>
      </c>
      <c r="H42" s="12">
        <v>2.1512851759063598</v>
      </c>
      <c r="I42" s="31">
        <v>15424.786246675842</v>
      </c>
    </row>
    <row r="43" spans="1:9">
      <c r="A43" s="17">
        <v>41</v>
      </c>
      <c r="B43" s="2">
        <v>137</v>
      </c>
      <c r="C43" s="2">
        <v>279</v>
      </c>
      <c r="D43" s="2">
        <v>1006</v>
      </c>
      <c r="E43" s="9">
        <v>34</v>
      </c>
      <c r="F43" s="5">
        <v>5544.5686555180664</v>
      </c>
      <c r="G43" s="12">
        <v>8.2752116654659036E-2</v>
      </c>
      <c r="H43" s="12">
        <v>0.5650020633617534</v>
      </c>
      <c r="I43" s="31">
        <v>16356.167571738672</v>
      </c>
    </row>
    <row r="44" spans="1:9">
      <c r="A44" s="17">
        <v>42</v>
      </c>
      <c r="B44" s="2">
        <v>203</v>
      </c>
      <c r="C44" s="2">
        <v>36</v>
      </c>
      <c r="D44" s="2">
        <v>1014</v>
      </c>
      <c r="E44" s="9">
        <v>88</v>
      </c>
      <c r="F44" s="5">
        <v>8334.9785872082575</v>
      </c>
      <c r="G44" s="12">
        <v>0.11963591133723966</v>
      </c>
      <c r="H44" s="12">
        <v>2.4509682660970431</v>
      </c>
      <c r="I44" s="31">
        <v>15475.36468286072</v>
      </c>
    </row>
    <row r="45" spans="1:9">
      <c r="A45" s="17">
        <v>43</v>
      </c>
      <c r="B45" s="2">
        <v>256</v>
      </c>
      <c r="C45" s="2">
        <v>169</v>
      </c>
      <c r="D45" s="2">
        <v>1010</v>
      </c>
      <c r="E45" s="9">
        <v>41</v>
      </c>
      <c r="F45" s="5">
        <v>3642.3058298687074</v>
      </c>
      <c r="G45" s="12">
        <v>0.10103772488480317</v>
      </c>
      <c r="H45" s="12">
        <v>3.9362478177133018</v>
      </c>
      <c r="I45" s="31">
        <v>16461.567900459533</v>
      </c>
    </row>
    <row r="46" spans="1:9">
      <c r="A46" s="17">
        <v>44</v>
      </c>
      <c r="B46" s="2">
        <v>269</v>
      </c>
      <c r="C46" s="2">
        <v>10</v>
      </c>
      <c r="D46" s="2">
        <v>1013</v>
      </c>
      <c r="E46" s="9">
        <v>14</v>
      </c>
      <c r="F46" s="5">
        <v>6807.3711776646242</v>
      </c>
      <c r="G46" s="12">
        <v>8.2772926166284011E-2</v>
      </c>
      <c r="H46" s="12">
        <v>2.9128575881508643</v>
      </c>
      <c r="I46" s="31">
        <v>17486.85003329175</v>
      </c>
    </row>
    <row r="47" spans="1:9">
      <c r="A47" s="17">
        <v>45</v>
      </c>
      <c r="B47" s="2">
        <v>63</v>
      </c>
      <c r="C47" s="2">
        <v>85</v>
      </c>
      <c r="D47" s="2">
        <v>1009</v>
      </c>
      <c r="E47" s="9">
        <v>66</v>
      </c>
      <c r="F47" s="5">
        <v>7828.6160501915738</v>
      </c>
      <c r="G47" s="12">
        <v>6.4859590420268065E-2</v>
      </c>
      <c r="H47" s="12">
        <v>2.3189101242814378</v>
      </c>
      <c r="I47" s="31">
        <v>15350.808384554886</v>
      </c>
    </row>
    <row r="48" spans="1:9">
      <c r="A48" s="17">
        <v>46</v>
      </c>
      <c r="B48" s="2">
        <v>64</v>
      </c>
      <c r="C48" s="2">
        <v>94</v>
      </c>
      <c r="D48" s="2">
        <v>1003</v>
      </c>
      <c r="E48" s="9">
        <v>72</v>
      </c>
      <c r="F48" s="5">
        <v>6166.2416806024858</v>
      </c>
      <c r="G48" s="12">
        <v>6.3925267545413222E-2</v>
      </c>
      <c r="H48" s="12">
        <v>2.2799436610022714</v>
      </c>
      <c r="I48" s="31">
        <v>15910.827886891104</v>
      </c>
    </row>
    <row r="49" spans="1:9">
      <c r="A49" s="17">
        <v>47</v>
      </c>
      <c r="B49" s="2">
        <v>157</v>
      </c>
      <c r="C49" s="2">
        <v>186</v>
      </c>
      <c r="D49" s="2">
        <v>1003</v>
      </c>
      <c r="E49" s="9">
        <v>32</v>
      </c>
      <c r="F49" s="5">
        <v>2144.9973202283736</v>
      </c>
      <c r="G49" s="12">
        <v>6.9913252909712897E-2</v>
      </c>
      <c r="H49" s="12">
        <v>1.4052697647536481</v>
      </c>
      <c r="I49" s="31">
        <v>15676.570459508559</v>
      </c>
    </row>
    <row r="50" spans="1:9">
      <c r="A50" s="17">
        <v>48</v>
      </c>
      <c r="B50" s="2">
        <v>144</v>
      </c>
      <c r="C50" s="2">
        <v>143</v>
      </c>
      <c r="D50" s="2">
        <v>1023</v>
      </c>
      <c r="E50" s="9">
        <v>49</v>
      </c>
      <c r="F50" s="5">
        <v>7373.1544921788163</v>
      </c>
      <c r="G50" s="12">
        <v>5.1423348509045896E-2</v>
      </c>
      <c r="H50" s="12">
        <v>1.6398018285109903</v>
      </c>
      <c r="I50" s="31">
        <v>15592.370004541783</v>
      </c>
    </row>
    <row r="51" spans="1:9">
      <c r="A51" s="17">
        <v>49</v>
      </c>
      <c r="B51" s="2">
        <v>153</v>
      </c>
      <c r="C51" s="2">
        <v>332</v>
      </c>
      <c r="D51" s="2">
        <v>1008</v>
      </c>
      <c r="E51" s="9">
        <v>32</v>
      </c>
      <c r="F51" s="5">
        <v>6586.057474023125</v>
      </c>
      <c r="G51" s="12">
        <v>9.4591180154451282E-2</v>
      </c>
      <c r="H51" s="12">
        <v>4.0770813471419203</v>
      </c>
      <c r="I51" s="31">
        <v>16342.994834648754</v>
      </c>
    </row>
    <row r="52" spans="1:9">
      <c r="A52" s="17">
        <v>50</v>
      </c>
      <c r="B52" s="2">
        <v>229</v>
      </c>
      <c r="C52" s="2">
        <v>244</v>
      </c>
      <c r="D52" s="2">
        <v>1002</v>
      </c>
      <c r="E52" s="9">
        <v>92</v>
      </c>
      <c r="F52" s="5">
        <v>1701.088173348996</v>
      </c>
      <c r="G52" s="12">
        <v>6.1019195049878905E-2</v>
      </c>
      <c r="H52" s="12">
        <v>0.98007119675792675</v>
      </c>
      <c r="I52" s="31">
        <v>18206.226476813219</v>
      </c>
    </row>
    <row r="53" spans="1:9">
      <c r="A53" s="17">
        <v>51</v>
      </c>
      <c r="B53" s="2">
        <v>252</v>
      </c>
      <c r="C53" s="2">
        <v>67</v>
      </c>
      <c r="D53" s="2">
        <v>1002</v>
      </c>
      <c r="E53" s="9">
        <v>20</v>
      </c>
      <c r="F53" s="5">
        <v>1766.1385522109931</v>
      </c>
      <c r="G53" s="12">
        <v>5.8968248299491821E-2</v>
      </c>
      <c r="H53" s="12">
        <v>2.0061935416685448</v>
      </c>
      <c r="I53" s="31">
        <v>17070.714830860572</v>
      </c>
    </row>
    <row r="54" spans="1:9">
      <c r="A54" s="17">
        <v>52</v>
      </c>
      <c r="B54" s="2">
        <v>146</v>
      </c>
      <c r="C54" s="2">
        <v>248</v>
      </c>
      <c r="D54" s="2">
        <v>1017</v>
      </c>
      <c r="E54" s="9">
        <v>73</v>
      </c>
      <c r="F54" s="5">
        <v>1736.1726532812618</v>
      </c>
      <c r="G54" s="12">
        <v>5.9876777058774311E-2</v>
      </c>
      <c r="H54" s="12">
        <v>2.8762565981787067</v>
      </c>
      <c r="I54" s="31">
        <v>14277.457639745455</v>
      </c>
    </row>
    <row r="55" spans="1:9">
      <c r="A55" s="17">
        <v>53</v>
      </c>
      <c r="B55" s="2">
        <v>5</v>
      </c>
      <c r="C55" s="2">
        <v>195</v>
      </c>
      <c r="D55" s="2">
        <v>1021</v>
      </c>
      <c r="E55" s="9">
        <v>77</v>
      </c>
      <c r="F55" s="5">
        <v>3999.0210803166128</v>
      </c>
      <c r="G55" s="12">
        <v>6.2813797653574144E-2</v>
      </c>
      <c r="H55" s="12">
        <v>4.4690090463256453</v>
      </c>
      <c r="I55" s="31">
        <v>15675.067227384181</v>
      </c>
    </row>
    <row r="56" spans="1:9">
      <c r="A56" s="17">
        <v>54</v>
      </c>
      <c r="B56" s="2">
        <v>197</v>
      </c>
      <c r="C56" s="2">
        <v>285</v>
      </c>
      <c r="D56" s="2">
        <v>1005</v>
      </c>
      <c r="E56" s="9">
        <v>81</v>
      </c>
      <c r="F56" s="5">
        <v>4929.5535555592842</v>
      </c>
      <c r="G56" s="12">
        <v>0.10006654981668689</v>
      </c>
      <c r="H56" s="12">
        <v>3.1723617677607128</v>
      </c>
      <c r="I56" s="31">
        <v>16178.69504505453</v>
      </c>
    </row>
    <row r="57" spans="1:9">
      <c r="A57" s="17">
        <v>55</v>
      </c>
      <c r="B57" s="2">
        <v>76</v>
      </c>
      <c r="C57" s="2">
        <v>61</v>
      </c>
      <c r="D57" s="2">
        <v>1018</v>
      </c>
      <c r="E57" s="9">
        <v>44</v>
      </c>
      <c r="F57" s="5">
        <v>5554.6445529007151</v>
      </c>
      <c r="G57" s="12">
        <v>7.639611749698233E-2</v>
      </c>
      <c r="H57" s="12">
        <v>3.8298735830232364</v>
      </c>
      <c r="I57" s="31">
        <v>16783.81663112251</v>
      </c>
    </row>
    <row r="58" spans="1:9">
      <c r="A58" s="17">
        <v>56</v>
      </c>
      <c r="B58" s="2">
        <v>245</v>
      </c>
      <c r="C58" s="2">
        <v>179</v>
      </c>
      <c r="D58" s="2">
        <v>1010</v>
      </c>
      <c r="E58" s="9">
        <v>71</v>
      </c>
      <c r="F58" s="5">
        <v>2615.9654141424262</v>
      </c>
      <c r="G58" s="12">
        <v>6.2824347592025875E-2</v>
      </c>
      <c r="H58" s="12">
        <v>3.2129540988500414</v>
      </c>
      <c r="I58" s="31">
        <v>16588.042150924059</v>
      </c>
    </row>
    <row r="59" spans="1:9">
      <c r="A59" s="17">
        <v>57</v>
      </c>
      <c r="B59" s="2">
        <v>119</v>
      </c>
      <c r="C59" s="2">
        <v>310</v>
      </c>
      <c r="D59" s="2">
        <v>1016</v>
      </c>
      <c r="E59" s="9">
        <v>54</v>
      </c>
      <c r="F59" s="5">
        <v>3440.0297290557837</v>
      </c>
      <c r="G59" s="12">
        <v>6.3015407945270996E-2</v>
      </c>
      <c r="H59" s="12">
        <v>2.0555031033574598</v>
      </c>
      <c r="I59" s="31">
        <v>17523.496948323929</v>
      </c>
    </row>
    <row r="60" spans="1:9">
      <c r="A60" s="17">
        <v>58</v>
      </c>
      <c r="B60" s="2">
        <v>268</v>
      </c>
      <c r="C60" s="2">
        <v>100</v>
      </c>
      <c r="D60" s="2">
        <v>1021</v>
      </c>
      <c r="E60" s="9">
        <v>53</v>
      </c>
      <c r="F60" s="5">
        <v>6194.5991219995058</v>
      </c>
      <c r="G60" s="12">
        <v>3.866813416141085E-2</v>
      </c>
      <c r="H60" s="12">
        <v>3.8457807904784933</v>
      </c>
      <c r="I60" s="31">
        <v>15825.674087845448</v>
      </c>
    </row>
    <row r="61" spans="1:9">
      <c r="A61" s="17">
        <v>59</v>
      </c>
      <c r="B61" s="2">
        <v>157</v>
      </c>
      <c r="C61" s="2">
        <v>41</v>
      </c>
      <c r="D61" s="2">
        <v>1007</v>
      </c>
      <c r="E61" s="9">
        <v>78</v>
      </c>
      <c r="F61" s="5">
        <v>3064.7292544603779</v>
      </c>
      <c r="G61" s="12">
        <v>8.9451666331000157E-2</v>
      </c>
      <c r="H61" s="12">
        <v>3.2339184379076689</v>
      </c>
      <c r="I61" s="31">
        <v>17336.068068815996</v>
      </c>
    </row>
    <row r="62" spans="1:9">
      <c r="A62" s="17">
        <v>60</v>
      </c>
      <c r="B62" s="2">
        <v>297</v>
      </c>
      <c r="C62" s="2">
        <v>91</v>
      </c>
      <c r="D62" s="2">
        <v>1012</v>
      </c>
      <c r="E62" s="9">
        <v>47</v>
      </c>
      <c r="F62" s="5">
        <v>1913.2956616881138</v>
      </c>
      <c r="G62" s="12">
        <v>6.1202802694309499E-2</v>
      </c>
      <c r="H62" s="12">
        <v>3.0484304364301171</v>
      </c>
      <c r="I62" s="31">
        <v>15985.221493046458</v>
      </c>
    </row>
    <row r="63" spans="1:9">
      <c r="A63" s="17">
        <v>61</v>
      </c>
      <c r="B63" s="2">
        <v>37</v>
      </c>
      <c r="C63" s="2">
        <v>204</v>
      </c>
      <c r="D63" s="2">
        <v>1012</v>
      </c>
      <c r="E63" s="9">
        <v>24</v>
      </c>
      <c r="F63" s="5">
        <v>6604.6049999472025</v>
      </c>
      <c r="G63" s="12">
        <v>0.10326918204998364</v>
      </c>
      <c r="H63" s="12">
        <v>1.0990351605720938</v>
      </c>
      <c r="I63" s="31">
        <v>15487.881035896327</v>
      </c>
    </row>
    <row r="64" spans="1:9">
      <c r="A64" s="17">
        <v>62</v>
      </c>
      <c r="B64" s="2">
        <v>355</v>
      </c>
      <c r="C64" s="2">
        <v>235</v>
      </c>
      <c r="D64" s="2">
        <v>1008</v>
      </c>
      <c r="E64" s="9">
        <v>17</v>
      </c>
      <c r="F64" s="5">
        <v>4362.8445402254847</v>
      </c>
      <c r="G64" s="12">
        <v>0.11059025860492838</v>
      </c>
      <c r="H64" s="12">
        <v>3.8627247099122362</v>
      </c>
      <c r="I64" s="31">
        <v>16767.55141377672</v>
      </c>
    </row>
    <row r="65" spans="1:9">
      <c r="A65" s="17">
        <v>63</v>
      </c>
      <c r="B65" s="2">
        <v>14</v>
      </c>
      <c r="C65" s="2">
        <v>80</v>
      </c>
      <c r="D65" s="2">
        <v>1006</v>
      </c>
      <c r="E65" s="9">
        <v>66</v>
      </c>
      <c r="F65" s="5">
        <v>2095.4115903527572</v>
      </c>
      <c r="G65" s="12">
        <v>8.1330415659862043E-2</v>
      </c>
      <c r="H65" s="12">
        <v>3.2599664585085795</v>
      </c>
      <c r="I65" s="31">
        <v>16304.070543428144</v>
      </c>
    </row>
    <row r="66" spans="1:9">
      <c r="A66" s="17">
        <v>64</v>
      </c>
      <c r="B66" s="2">
        <v>156</v>
      </c>
      <c r="C66" s="2">
        <v>245</v>
      </c>
      <c r="D66" s="2">
        <v>1019</v>
      </c>
      <c r="E66" s="9">
        <v>36</v>
      </c>
      <c r="F66" s="5">
        <v>6426.2588936248512</v>
      </c>
      <c r="G66" s="12">
        <v>5.7498177288720032E-2</v>
      </c>
      <c r="H66" s="12">
        <v>3.9764949995707686</v>
      </c>
      <c r="I66" s="31">
        <v>16069.38201200993</v>
      </c>
    </row>
    <row r="67" spans="1:9">
      <c r="A67" s="17">
        <v>65</v>
      </c>
      <c r="B67" s="2">
        <v>173</v>
      </c>
      <c r="C67" s="2">
        <v>316</v>
      </c>
      <c r="D67" s="2">
        <v>1010</v>
      </c>
      <c r="E67" s="9">
        <v>22</v>
      </c>
      <c r="F67" s="5">
        <v>4521.7718727935398</v>
      </c>
      <c r="G67" s="12">
        <v>6.122092632710846E-2</v>
      </c>
      <c r="H67" s="12">
        <v>1.6925401254263126</v>
      </c>
      <c r="I67" s="31">
        <v>15983.564660909371</v>
      </c>
    </row>
    <row r="68" spans="1:9">
      <c r="A68" s="17">
        <v>66</v>
      </c>
      <c r="B68" s="2">
        <v>96</v>
      </c>
      <c r="C68" s="2">
        <v>48</v>
      </c>
      <c r="D68" s="2">
        <v>1003</v>
      </c>
      <c r="E68" s="9">
        <v>14</v>
      </c>
      <c r="F68" s="5">
        <v>3306.2261680533602</v>
      </c>
      <c r="G68" s="12">
        <v>6.382349451530317E-2</v>
      </c>
      <c r="H68" s="12">
        <v>1.7041639424143615</v>
      </c>
      <c r="I68" s="31">
        <v>15751.573345714325</v>
      </c>
    </row>
    <row r="69" spans="1:9">
      <c r="A69" s="17">
        <v>67</v>
      </c>
      <c r="B69" s="2">
        <v>144</v>
      </c>
      <c r="C69" s="2">
        <v>240</v>
      </c>
      <c r="D69" s="2">
        <v>1015</v>
      </c>
      <c r="E69" s="9">
        <v>66</v>
      </c>
      <c r="F69" s="5">
        <v>3345.8302461048852</v>
      </c>
      <c r="G69" s="12">
        <v>5.8180245327888402E-2</v>
      </c>
      <c r="H69" s="12">
        <v>3.4353035325772727</v>
      </c>
      <c r="I69" s="31">
        <v>16030.137208762801</v>
      </c>
    </row>
    <row r="70" spans="1:9">
      <c r="A70" s="17">
        <v>68</v>
      </c>
      <c r="B70" s="2">
        <v>191</v>
      </c>
      <c r="C70" s="2">
        <v>184</v>
      </c>
      <c r="D70" s="2">
        <v>1005</v>
      </c>
      <c r="E70" s="9">
        <v>18</v>
      </c>
      <c r="F70" s="5">
        <v>3541.2641193665486</v>
      </c>
      <c r="G70" s="12">
        <v>8.8275299799419005E-2</v>
      </c>
      <c r="H70" s="12">
        <v>5.3313485985960867</v>
      </c>
      <c r="I70" s="31">
        <v>16454.832027902205</v>
      </c>
    </row>
    <row r="71" spans="1:9">
      <c r="A71" s="17">
        <v>69</v>
      </c>
      <c r="B71" s="2">
        <v>250</v>
      </c>
      <c r="C71" s="2">
        <v>176</v>
      </c>
      <c r="D71" s="2">
        <v>1003</v>
      </c>
      <c r="E71" s="9">
        <v>42</v>
      </c>
      <c r="F71" s="5">
        <v>2435.5668489892714</v>
      </c>
      <c r="G71" s="12">
        <v>0.10801733187224599</v>
      </c>
      <c r="H71" s="12">
        <v>1.1886121326448851</v>
      </c>
      <c r="I71" s="31">
        <v>14716.74958009263</v>
      </c>
    </row>
    <row r="72" spans="1:9">
      <c r="A72" s="17">
        <v>70</v>
      </c>
      <c r="B72" s="2">
        <v>251</v>
      </c>
      <c r="C72" s="2">
        <v>168</v>
      </c>
      <c r="D72" s="2">
        <v>1023</v>
      </c>
      <c r="E72" s="9">
        <v>62</v>
      </c>
      <c r="F72" s="5">
        <v>1959.5639479025131</v>
      </c>
      <c r="G72" s="12">
        <v>7.0916827903487134E-2</v>
      </c>
      <c r="H72" s="12">
        <v>4.8520538938498063</v>
      </c>
      <c r="I72" s="31">
        <v>15258.154808888696</v>
      </c>
    </row>
    <row r="73" spans="1:9">
      <c r="A73" s="17">
        <v>71</v>
      </c>
      <c r="B73" s="2">
        <v>201</v>
      </c>
      <c r="C73" s="2">
        <v>282</v>
      </c>
      <c r="D73" s="2">
        <v>1002</v>
      </c>
      <c r="E73" s="9">
        <v>69</v>
      </c>
      <c r="F73" s="5">
        <v>2073.0230343310332</v>
      </c>
      <c r="G73" s="12">
        <v>7.7360807740545712E-2</v>
      </c>
      <c r="H73" s="12">
        <v>0.33045229964380285</v>
      </c>
      <c r="I73" s="31">
        <v>16694.480815730833</v>
      </c>
    </row>
    <row r="74" spans="1:9">
      <c r="A74" s="17">
        <v>72</v>
      </c>
      <c r="B74" s="2">
        <v>225</v>
      </c>
      <c r="C74" s="2">
        <v>21</v>
      </c>
      <c r="D74" s="2">
        <v>1003</v>
      </c>
      <c r="E74" s="9">
        <v>56</v>
      </c>
      <c r="F74" s="5">
        <v>1231.6112536058945</v>
      </c>
      <c r="G74" s="12">
        <v>0.1113624366688542</v>
      </c>
      <c r="H74" s="12">
        <v>3.7206091976224163</v>
      </c>
      <c r="I74" s="31">
        <v>15765.099362833473</v>
      </c>
    </row>
    <row r="75" spans="1:9">
      <c r="A75" s="17">
        <v>73</v>
      </c>
      <c r="B75" s="2">
        <v>168</v>
      </c>
      <c r="C75" s="2">
        <v>239</v>
      </c>
      <c r="D75" s="2">
        <v>1014</v>
      </c>
      <c r="E75" s="9">
        <v>35</v>
      </c>
      <c r="F75" s="5">
        <v>3436.9154369319012</v>
      </c>
      <c r="G75" s="12">
        <v>7.2890682672435647E-2</v>
      </c>
      <c r="H75" s="12">
        <v>3.9416412485672301</v>
      </c>
      <c r="I75" s="31">
        <v>14152.611549415644</v>
      </c>
    </row>
    <row r="76" spans="1:9">
      <c r="A76" s="17">
        <v>74</v>
      </c>
      <c r="B76" s="2">
        <v>32</v>
      </c>
      <c r="C76" s="2">
        <v>251</v>
      </c>
      <c r="D76" s="2">
        <v>1009</v>
      </c>
      <c r="E76" s="9">
        <v>25</v>
      </c>
      <c r="F76" s="5">
        <v>6070.2452490017613</v>
      </c>
      <c r="G76" s="12">
        <v>5.043605816797353E-2</v>
      </c>
      <c r="H76" s="12">
        <v>1.5808028026719332</v>
      </c>
      <c r="I76" s="31">
        <v>16589.127591013868</v>
      </c>
    </row>
    <row r="77" spans="1:9">
      <c r="A77" s="17">
        <v>75</v>
      </c>
      <c r="B77" s="2">
        <v>304</v>
      </c>
      <c r="C77" s="2">
        <v>72</v>
      </c>
      <c r="D77" s="2">
        <v>1018</v>
      </c>
      <c r="E77" s="9">
        <v>86</v>
      </c>
      <c r="F77" s="5">
        <v>1752.3074929062723</v>
      </c>
      <c r="G77" s="12">
        <v>5.2648931955330769E-2</v>
      </c>
      <c r="H77" s="12">
        <v>1.6725897412549604</v>
      </c>
      <c r="I77" s="31">
        <v>16152.624002897403</v>
      </c>
    </row>
    <row r="78" spans="1:9">
      <c r="A78" s="17">
        <v>76</v>
      </c>
      <c r="B78" s="2">
        <v>314</v>
      </c>
      <c r="C78" s="2">
        <v>195</v>
      </c>
      <c r="D78" s="2">
        <v>1014</v>
      </c>
      <c r="E78" s="9">
        <v>78</v>
      </c>
      <c r="F78" s="5">
        <v>1836.9651366396802</v>
      </c>
      <c r="G78" s="12">
        <v>5.1664206507551713E-2</v>
      </c>
      <c r="H78" s="12">
        <v>-1.0859288910217582</v>
      </c>
      <c r="I78" s="31">
        <v>15811.867494703085</v>
      </c>
    </row>
    <row r="79" spans="1:9">
      <c r="A79" s="17">
        <v>77</v>
      </c>
      <c r="B79" s="2">
        <v>261</v>
      </c>
      <c r="C79" s="2">
        <v>24</v>
      </c>
      <c r="D79" s="2">
        <v>1016</v>
      </c>
      <c r="E79" s="9">
        <v>79</v>
      </c>
      <c r="F79" s="5">
        <v>549.57499543839458</v>
      </c>
      <c r="G79" s="12">
        <v>0.11812020458353217</v>
      </c>
      <c r="H79" s="12">
        <v>2.2640326606983128</v>
      </c>
      <c r="I79" s="31">
        <v>16561.567652733549</v>
      </c>
    </row>
    <row r="80" spans="1:9">
      <c r="A80" s="17">
        <v>78</v>
      </c>
      <c r="B80" s="2">
        <v>41</v>
      </c>
      <c r="C80" s="2">
        <v>137</v>
      </c>
      <c r="D80" s="2">
        <v>1013</v>
      </c>
      <c r="E80" s="9">
        <v>28</v>
      </c>
      <c r="F80" s="5">
        <v>2879.7650155815581</v>
      </c>
      <c r="G80" s="12">
        <v>9.1834500594699053E-2</v>
      </c>
      <c r="H80" s="12">
        <v>2.4666959453804158</v>
      </c>
      <c r="I80" s="31">
        <v>14743.136014275853</v>
      </c>
    </row>
    <row r="81" spans="1:9">
      <c r="A81" s="17">
        <v>79</v>
      </c>
      <c r="B81" s="2">
        <v>36</v>
      </c>
      <c r="C81" s="2">
        <v>272</v>
      </c>
      <c r="D81" s="2">
        <v>1002</v>
      </c>
      <c r="E81" s="9">
        <v>43</v>
      </c>
      <c r="F81" s="5">
        <v>4871.0396297696725</v>
      </c>
      <c r="G81" s="12">
        <v>5.8420232230558755E-2</v>
      </c>
      <c r="H81" s="12">
        <v>2.4535802745696675</v>
      </c>
      <c r="I81" s="31">
        <v>15333.659455135978</v>
      </c>
    </row>
    <row r="82" spans="1:9">
      <c r="A82" s="17">
        <v>80</v>
      </c>
      <c r="B82" s="2">
        <v>310</v>
      </c>
      <c r="C82" s="2">
        <v>208</v>
      </c>
      <c r="D82" s="2">
        <v>1008</v>
      </c>
      <c r="E82" s="9">
        <v>40</v>
      </c>
      <c r="F82" s="5">
        <v>6907.744791873899</v>
      </c>
      <c r="G82" s="12">
        <v>4.812871887668152E-2</v>
      </c>
      <c r="H82" s="12">
        <v>3.6392247787454655</v>
      </c>
      <c r="I82" s="31">
        <v>17095.464912908403</v>
      </c>
    </row>
    <row r="83" spans="1:9">
      <c r="A83" s="17">
        <v>81</v>
      </c>
      <c r="B83" s="2">
        <v>125</v>
      </c>
      <c r="C83" s="2">
        <v>1</v>
      </c>
      <c r="D83" s="2">
        <v>1023</v>
      </c>
      <c r="E83" s="9">
        <v>40</v>
      </c>
      <c r="F83" s="5">
        <v>3627.0736532601013</v>
      </c>
      <c r="G83" s="12">
        <v>3.585352672860026E-2</v>
      </c>
      <c r="H83" s="12">
        <v>5.7964631063293197</v>
      </c>
      <c r="I83" s="31">
        <v>15154.278192293907</v>
      </c>
    </row>
    <row r="84" spans="1:9">
      <c r="A84" s="17">
        <v>82</v>
      </c>
      <c r="B84" s="2">
        <v>356</v>
      </c>
      <c r="C84" s="2">
        <v>96</v>
      </c>
      <c r="D84" s="2">
        <v>1007</v>
      </c>
      <c r="E84" s="9">
        <v>81</v>
      </c>
      <c r="F84" s="5">
        <v>1303.4305579180518</v>
      </c>
      <c r="G84" s="12">
        <v>4.7123716253621384E-2</v>
      </c>
      <c r="H84" s="12">
        <v>2.624226859077162</v>
      </c>
      <c r="I84" s="31">
        <v>15268.706105761714</v>
      </c>
    </row>
    <row r="85" spans="1:9">
      <c r="A85" s="17">
        <v>83</v>
      </c>
      <c r="B85" s="2">
        <v>57</v>
      </c>
      <c r="C85" s="2">
        <v>305</v>
      </c>
      <c r="D85" s="2">
        <v>1014</v>
      </c>
      <c r="E85" s="9">
        <v>78</v>
      </c>
      <c r="F85" s="5">
        <v>4219.6101403300936</v>
      </c>
      <c r="G85" s="12">
        <v>2.8939735870948058E-2</v>
      </c>
      <c r="H85" s="12">
        <v>2.8715711657491103</v>
      </c>
      <c r="I85" s="31">
        <v>13877.57331865888</v>
      </c>
    </row>
    <row r="86" spans="1:9">
      <c r="A86" s="17">
        <v>84</v>
      </c>
      <c r="B86" s="2">
        <v>196</v>
      </c>
      <c r="C86" s="2">
        <v>310</v>
      </c>
      <c r="D86" s="2">
        <v>1012</v>
      </c>
      <c r="E86" s="9">
        <v>81</v>
      </c>
      <c r="F86" s="5">
        <v>4541.7142329842654</v>
      </c>
      <c r="G86" s="12">
        <v>8.5895853130635802E-2</v>
      </c>
      <c r="H86" s="12">
        <v>3.065129084981145</v>
      </c>
      <c r="I86" s="31">
        <v>16139.484033810197</v>
      </c>
    </row>
    <row r="87" spans="1:9">
      <c r="A87" s="17">
        <v>85</v>
      </c>
      <c r="B87" s="2">
        <v>319</v>
      </c>
      <c r="C87" s="2">
        <v>44</v>
      </c>
      <c r="D87" s="2">
        <v>1007</v>
      </c>
      <c r="E87" s="9">
        <v>46</v>
      </c>
      <c r="F87" s="5">
        <v>1092.9488104734055</v>
      </c>
      <c r="G87" s="12">
        <v>6.2254118579288475E-2</v>
      </c>
      <c r="H87" s="12">
        <v>2.5171711759036772</v>
      </c>
      <c r="I87" s="31">
        <v>16809.703353264387</v>
      </c>
    </row>
    <row r="88" spans="1:9">
      <c r="A88" s="17">
        <v>86</v>
      </c>
      <c r="B88" s="2">
        <v>7</v>
      </c>
      <c r="C88" s="2">
        <v>286</v>
      </c>
      <c r="D88" s="2">
        <v>1022</v>
      </c>
      <c r="E88" s="9">
        <v>52</v>
      </c>
      <c r="F88" s="5">
        <v>4419.2138559714813</v>
      </c>
      <c r="G88" s="12">
        <v>8.1162608726002505E-2</v>
      </c>
      <c r="H88" s="12">
        <v>2.5386955922862673</v>
      </c>
      <c r="I88" s="31">
        <v>15704.719197837596</v>
      </c>
    </row>
    <row r="89" spans="1:9">
      <c r="A89" s="17">
        <v>87</v>
      </c>
      <c r="B89" s="2">
        <v>257</v>
      </c>
      <c r="C89" s="2">
        <v>249</v>
      </c>
      <c r="D89" s="2">
        <v>1011</v>
      </c>
      <c r="E89" s="9">
        <v>97</v>
      </c>
      <c r="F89" s="5">
        <v>5288.7150018381881</v>
      </c>
      <c r="G89" s="12">
        <v>7.5920450776605863E-2</v>
      </c>
      <c r="H89" s="12">
        <v>1.7323498654001743</v>
      </c>
      <c r="I89" s="31">
        <v>15952.312178323529</v>
      </c>
    </row>
    <row r="90" spans="1:9">
      <c r="A90" s="17">
        <v>88</v>
      </c>
      <c r="B90" s="2">
        <v>214</v>
      </c>
      <c r="C90" s="2">
        <v>123</v>
      </c>
      <c r="D90" s="2">
        <v>1005</v>
      </c>
      <c r="E90" s="9">
        <v>36</v>
      </c>
      <c r="F90" s="5">
        <v>3433.6440688770899</v>
      </c>
      <c r="G90" s="12">
        <v>0.10359961773690302</v>
      </c>
      <c r="H90" s="12">
        <v>3.3747190959808724</v>
      </c>
      <c r="I90" s="31">
        <v>15109.742380608997</v>
      </c>
    </row>
    <row r="91" spans="1:9">
      <c r="A91" s="17">
        <v>89</v>
      </c>
      <c r="B91" s="2">
        <v>128</v>
      </c>
      <c r="C91" s="2">
        <v>222</v>
      </c>
      <c r="D91" s="2">
        <v>1020</v>
      </c>
      <c r="E91" s="9">
        <v>83</v>
      </c>
      <c r="F91" s="5">
        <v>2940.274852866839</v>
      </c>
      <c r="G91" s="12">
        <v>7.341251747209171E-2</v>
      </c>
      <c r="H91" s="12">
        <v>2.3932701873626958</v>
      </c>
      <c r="I91" s="31">
        <v>15736.31881645216</v>
      </c>
    </row>
    <row r="92" spans="1:9">
      <c r="A92" s="17">
        <v>90</v>
      </c>
      <c r="B92" s="2">
        <v>309</v>
      </c>
      <c r="C92" s="2">
        <v>83</v>
      </c>
      <c r="D92" s="2">
        <v>1005</v>
      </c>
      <c r="E92" s="9">
        <v>65</v>
      </c>
      <c r="F92" s="5">
        <v>2349.9709383617819</v>
      </c>
      <c r="G92" s="12">
        <v>8.2480697710592354E-2</v>
      </c>
      <c r="H92" s="12">
        <v>5.0709973494428411</v>
      </c>
      <c r="I92" s="31">
        <v>16586.145702767146</v>
      </c>
    </row>
    <row r="93" spans="1:9">
      <c r="A93" s="17">
        <v>91</v>
      </c>
      <c r="B93" s="2">
        <v>238</v>
      </c>
      <c r="C93" s="2">
        <v>330</v>
      </c>
      <c r="D93" s="2">
        <v>1003</v>
      </c>
      <c r="E93" s="9">
        <v>81</v>
      </c>
      <c r="F93" s="5">
        <v>3026.5241993669924</v>
      </c>
      <c r="G93" s="12">
        <v>2.2950468060001727E-2</v>
      </c>
      <c r="H93" s="12">
        <v>4.0974034304860467</v>
      </c>
      <c r="I93" s="31">
        <v>16327.929745402264</v>
      </c>
    </row>
    <row r="94" spans="1:9">
      <c r="A94" s="17">
        <v>92</v>
      </c>
      <c r="B94" s="2">
        <v>335</v>
      </c>
      <c r="C94" s="2">
        <v>127</v>
      </c>
      <c r="D94" s="2">
        <v>1014</v>
      </c>
      <c r="E94" s="9">
        <v>53</v>
      </c>
      <c r="F94" s="5">
        <v>4779.6214379690873</v>
      </c>
      <c r="G94" s="12">
        <v>3.083756333114579E-2</v>
      </c>
      <c r="H94" s="12">
        <v>4.1243124277422609</v>
      </c>
      <c r="I94" s="31">
        <v>15220.338485759759</v>
      </c>
    </row>
    <row r="95" spans="1:9">
      <c r="A95" s="17">
        <v>93</v>
      </c>
      <c r="B95" s="2">
        <v>264</v>
      </c>
      <c r="C95" s="2">
        <v>345</v>
      </c>
      <c r="D95" s="2">
        <v>1010</v>
      </c>
      <c r="E95" s="9">
        <v>33</v>
      </c>
      <c r="F95" s="5">
        <v>4165.8776058779558</v>
      </c>
      <c r="G95" s="12">
        <v>8.350087191945349E-2</v>
      </c>
      <c r="H95" s="12">
        <v>3.7611168217574051</v>
      </c>
      <c r="I95" s="31">
        <v>17170.74325513696</v>
      </c>
    </row>
    <row r="96" spans="1:9">
      <c r="A96" s="17">
        <v>94</v>
      </c>
      <c r="B96" s="2">
        <v>47</v>
      </c>
      <c r="C96" s="2">
        <v>9</v>
      </c>
      <c r="D96" s="2">
        <v>1003</v>
      </c>
      <c r="E96" s="9">
        <v>44</v>
      </c>
      <c r="F96" s="5">
        <v>5316.1551197985837</v>
      </c>
      <c r="G96" s="12">
        <v>5.3922449869672706E-2</v>
      </c>
      <c r="H96" s="12">
        <v>1.6938018797611041</v>
      </c>
      <c r="I96" s="31">
        <v>13891.008199770487</v>
      </c>
    </row>
    <row r="97" spans="1:9">
      <c r="A97" s="17">
        <v>95</v>
      </c>
      <c r="B97" s="2">
        <v>340</v>
      </c>
      <c r="C97" s="2">
        <v>325</v>
      </c>
      <c r="D97" s="2">
        <v>1010</v>
      </c>
      <c r="E97" s="9">
        <v>59</v>
      </c>
      <c r="F97" s="5">
        <v>6938.1421260272482</v>
      </c>
      <c r="G97" s="12">
        <v>5.1868381692541876E-2</v>
      </c>
      <c r="H97" s="12">
        <v>3.1018893745987772</v>
      </c>
      <c r="I97" s="31">
        <v>14609.983235258744</v>
      </c>
    </row>
    <row r="98" spans="1:9">
      <c r="A98" s="17">
        <v>96</v>
      </c>
      <c r="B98" s="2">
        <v>14</v>
      </c>
      <c r="C98" s="2">
        <v>30</v>
      </c>
      <c r="D98" s="2">
        <v>1002</v>
      </c>
      <c r="E98" s="9">
        <v>19</v>
      </c>
      <c r="F98" s="5">
        <v>5108.8777213448857</v>
      </c>
      <c r="G98" s="12">
        <v>3.5879175661533369E-2</v>
      </c>
      <c r="H98" s="12">
        <v>3.8381596931537207</v>
      </c>
      <c r="I98" s="31">
        <v>16087.701373525681</v>
      </c>
    </row>
    <row r="99" spans="1:9">
      <c r="A99" s="17">
        <v>97</v>
      </c>
      <c r="B99" s="2">
        <v>26</v>
      </c>
      <c r="C99" s="2">
        <v>330</v>
      </c>
      <c r="D99" s="2">
        <v>1018</v>
      </c>
      <c r="E99" s="9">
        <v>66</v>
      </c>
      <c r="F99" s="5">
        <v>3490.0154789688322</v>
      </c>
      <c r="G99" s="12">
        <v>5.6732411458027487E-2</v>
      </c>
      <c r="H99" s="12">
        <v>4.4233305051272325</v>
      </c>
      <c r="I99" s="31">
        <v>15640.440664519167</v>
      </c>
    </row>
    <row r="100" spans="1:9">
      <c r="A100" s="17">
        <v>98</v>
      </c>
      <c r="B100" s="2">
        <v>5</v>
      </c>
      <c r="C100" s="2">
        <v>270</v>
      </c>
      <c r="D100" s="2">
        <v>1005</v>
      </c>
      <c r="E100" s="9">
        <v>39</v>
      </c>
      <c r="F100" s="5">
        <v>7359.7423020232391</v>
      </c>
      <c r="G100" s="12">
        <v>5.8987412407872031E-2</v>
      </c>
      <c r="H100" s="12">
        <v>3.0409054246057896</v>
      </c>
      <c r="I100" s="31">
        <v>15963.137907219254</v>
      </c>
    </row>
    <row r="101" spans="1:9">
      <c r="A101" s="17">
        <v>99</v>
      </c>
      <c r="B101" s="2">
        <v>95</v>
      </c>
      <c r="C101" s="2">
        <v>220</v>
      </c>
      <c r="D101" s="2">
        <v>1012</v>
      </c>
      <c r="E101" s="9">
        <v>24</v>
      </c>
      <c r="F101" s="5">
        <v>5938.8585629898962</v>
      </c>
      <c r="G101" s="12">
        <v>8.045794058932515E-2</v>
      </c>
      <c r="H101" s="12">
        <v>4.8088255329127421</v>
      </c>
      <c r="I101" s="31">
        <v>16014.125943438023</v>
      </c>
    </row>
    <row r="102" spans="1:9">
      <c r="A102" s="17">
        <v>100</v>
      </c>
      <c r="B102" s="2">
        <v>262</v>
      </c>
      <c r="C102" s="2">
        <v>34</v>
      </c>
      <c r="D102" s="2">
        <v>1004</v>
      </c>
      <c r="E102" s="9">
        <v>70</v>
      </c>
      <c r="F102" s="5">
        <v>1519.2822078547188</v>
      </c>
      <c r="G102" s="12">
        <v>6.2294914900916043E-2</v>
      </c>
      <c r="H102" s="12">
        <v>3.0954352103912517</v>
      </c>
      <c r="I102" s="31">
        <v>15492.988748318941</v>
      </c>
    </row>
    <row r="103" spans="1:9">
      <c r="A103" s="17">
        <v>101</v>
      </c>
      <c r="B103" s="2">
        <v>201</v>
      </c>
      <c r="C103" s="2">
        <v>62</v>
      </c>
      <c r="D103" s="2">
        <v>1007</v>
      </c>
      <c r="E103" s="9">
        <v>31</v>
      </c>
      <c r="F103" s="5">
        <v>3471.3590470659774</v>
      </c>
      <c r="G103" s="12">
        <v>6.9554288834182076E-2</v>
      </c>
      <c r="H103" s="12">
        <v>2.7243631219357032</v>
      </c>
      <c r="I103" s="31">
        <v>15737.304928533751</v>
      </c>
    </row>
    <row r="104" spans="1:9">
      <c r="A104" s="17">
        <v>102</v>
      </c>
      <c r="B104" s="2">
        <v>219</v>
      </c>
      <c r="C104" s="2">
        <v>213</v>
      </c>
      <c r="D104" s="2">
        <v>1011</v>
      </c>
      <c r="E104" s="9">
        <v>63</v>
      </c>
      <c r="F104" s="5">
        <v>3544.0035236019476</v>
      </c>
      <c r="G104" s="12">
        <v>6.0245565159560643E-2</v>
      </c>
      <c r="H104" s="12">
        <v>3.1976904113911861</v>
      </c>
      <c r="I104" s="31">
        <v>15772.862307475782</v>
      </c>
    </row>
    <row r="105" spans="1:9">
      <c r="A105" s="17">
        <v>103</v>
      </c>
      <c r="B105" s="2">
        <v>64</v>
      </c>
      <c r="C105" s="2">
        <v>7</v>
      </c>
      <c r="D105" s="2">
        <v>1023</v>
      </c>
      <c r="E105" s="9">
        <v>69</v>
      </c>
      <c r="F105" s="5">
        <v>5852.2029134150735</v>
      </c>
      <c r="G105" s="12">
        <v>8.0345085284419471E-2</v>
      </c>
      <c r="H105" s="12">
        <v>3.9859366642723946</v>
      </c>
      <c r="I105" s="31">
        <v>14695.778058357439</v>
      </c>
    </row>
    <row r="106" spans="1:9">
      <c r="A106" s="17">
        <v>104</v>
      </c>
      <c r="B106" s="2">
        <v>338</v>
      </c>
      <c r="C106" s="2">
        <v>137</v>
      </c>
      <c r="D106" s="2">
        <v>1015</v>
      </c>
      <c r="E106" s="9">
        <v>35</v>
      </c>
      <c r="F106" s="5">
        <v>4848.6091868330341</v>
      </c>
      <c r="G106" s="12">
        <v>9.1722274414563432E-2</v>
      </c>
      <c r="H106" s="12">
        <v>2.1928168691908287</v>
      </c>
      <c r="I106" s="31">
        <v>16023.687032229111</v>
      </c>
    </row>
    <row r="107" spans="1:9">
      <c r="A107" s="17">
        <v>105</v>
      </c>
      <c r="B107" s="2">
        <v>70</v>
      </c>
      <c r="C107" s="2">
        <v>195</v>
      </c>
      <c r="D107" s="2">
        <v>1013</v>
      </c>
      <c r="E107" s="9">
        <v>26</v>
      </c>
      <c r="F107" s="5">
        <v>-150.84124099352539</v>
      </c>
      <c r="G107" s="12">
        <v>7.2461280819764939E-2</v>
      </c>
      <c r="H107" s="12">
        <v>1.2984328025219658</v>
      </c>
      <c r="I107" s="31">
        <v>16961.826757851133</v>
      </c>
    </row>
    <row r="108" spans="1:9">
      <c r="A108" s="17">
        <v>106</v>
      </c>
      <c r="B108" s="2">
        <v>110</v>
      </c>
      <c r="C108" s="2">
        <v>145</v>
      </c>
      <c r="D108" s="2">
        <v>1001</v>
      </c>
      <c r="E108" s="9">
        <v>37</v>
      </c>
      <c r="F108" s="5">
        <v>4684.9758593743509</v>
      </c>
      <c r="G108" s="12">
        <v>7.2453126394860734E-2</v>
      </c>
      <c r="H108" s="12">
        <v>2.7383663193426675</v>
      </c>
      <c r="I108" s="31">
        <v>15706.777438007895</v>
      </c>
    </row>
    <row r="109" spans="1:9">
      <c r="A109" s="17">
        <v>107</v>
      </c>
      <c r="B109" s="2">
        <v>122</v>
      </c>
      <c r="C109" s="2">
        <v>157</v>
      </c>
      <c r="D109" s="2">
        <v>1003</v>
      </c>
      <c r="E109" s="9">
        <v>92</v>
      </c>
      <c r="F109" s="5">
        <v>3723.8910683931472</v>
      </c>
      <c r="G109" s="12">
        <v>9.5442192391486602E-2</v>
      </c>
      <c r="H109" s="12">
        <v>1.7471343896397049</v>
      </c>
      <c r="I109" s="31">
        <v>16811.939769449429</v>
      </c>
    </row>
    <row r="110" spans="1:9">
      <c r="A110" s="17">
        <v>108</v>
      </c>
      <c r="B110" s="2">
        <v>275</v>
      </c>
      <c r="C110" s="2">
        <v>145</v>
      </c>
      <c r="D110" s="2">
        <v>1005</v>
      </c>
      <c r="E110" s="9">
        <v>51</v>
      </c>
      <c r="F110" s="5">
        <v>5010.1251307427965</v>
      </c>
      <c r="G110" s="12">
        <v>7.4541481871959692E-2</v>
      </c>
      <c r="H110" s="12">
        <v>2.7377619921161842</v>
      </c>
      <c r="I110" s="31">
        <v>15169.556273558021</v>
      </c>
    </row>
    <row r="111" spans="1:9">
      <c r="A111" s="17">
        <v>109</v>
      </c>
      <c r="B111" s="2">
        <v>86</v>
      </c>
      <c r="C111" s="2">
        <v>222</v>
      </c>
      <c r="D111" s="2">
        <v>1008</v>
      </c>
      <c r="E111" s="9">
        <v>88</v>
      </c>
      <c r="F111" s="5">
        <v>4406.6310267312083</v>
      </c>
      <c r="G111" s="12">
        <v>6.8420267239047095E-2</v>
      </c>
      <c r="H111" s="12">
        <v>2.6007440684815539</v>
      </c>
      <c r="I111" s="31">
        <v>15798.660965610372</v>
      </c>
    </row>
    <row r="112" spans="1:9">
      <c r="A112" s="17">
        <v>110</v>
      </c>
      <c r="B112" s="2">
        <v>183</v>
      </c>
      <c r="C112" s="2">
        <v>235</v>
      </c>
      <c r="D112" s="2">
        <v>1018</v>
      </c>
      <c r="E112" s="9">
        <v>75</v>
      </c>
      <c r="F112" s="5">
        <v>3618.991573027376</v>
      </c>
      <c r="G112" s="12">
        <v>0.10246095029731223</v>
      </c>
      <c r="H112" s="12">
        <v>2.4082279183596076</v>
      </c>
      <c r="I112" s="31">
        <v>15314.127677519911</v>
      </c>
    </row>
    <row r="113" spans="1:9">
      <c r="A113" s="17">
        <v>111</v>
      </c>
      <c r="B113" s="2">
        <v>240</v>
      </c>
      <c r="C113" s="2">
        <v>32</v>
      </c>
      <c r="D113" s="2">
        <v>1008</v>
      </c>
      <c r="E113" s="9">
        <v>61</v>
      </c>
      <c r="F113" s="5">
        <v>3921.4590799696971</v>
      </c>
      <c r="G113" s="12">
        <v>7.3881529988169492E-2</v>
      </c>
      <c r="H113" s="12">
        <v>4.4988183085558191</v>
      </c>
      <c r="I113" s="31">
        <v>14893.692698732968</v>
      </c>
    </row>
    <row r="114" spans="1:9">
      <c r="A114" s="17">
        <v>112</v>
      </c>
      <c r="B114" s="2">
        <v>173</v>
      </c>
      <c r="C114" s="2">
        <v>234</v>
      </c>
      <c r="D114" s="2">
        <v>1001</v>
      </c>
      <c r="E114" s="9">
        <v>40</v>
      </c>
      <c r="F114" s="5">
        <v>3292.1710137538475</v>
      </c>
      <c r="G114" s="12">
        <v>7.5598605062508428E-2</v>
      </c>
      <c r="H114" s="12">
        <v>0.83440557808324245</v>
      </c>
      <c r="I114" s="31">
        <v>15775.237987672346</v>
      </c>
    </row>
    <row r="115" spans="1:9">
      <c r="A115" s="17">
        <v>113</v>
      </c>
      <c r="B115" s="2">
        <v>175</v>
      </c>
      <c r="C115" s="2">
        <v>321</v>
      </c>
      <c r="D115" s="2">
        <v>1007</v>
      </c>
      <c r="E115" s="9">
        <v>95</v>
      </c>
      <c r="F115" s="5">
        <v>5625.368514387862</v>
      </c>
      <c r="G115" s="12">
        <v>3.4357274448551467E-2</v>
      </c>
      <c r="H115" s="12">
        <v>1.027719490715463</v>
      </c>
      <c r="I115" s="31">
        <v>16547.397539561109</v>
      </c>
    </row>
    <row r="116" spans="1:9">
      <c r="A116" s="17">
        <v>114</v>
      </c>
      <c r="B116" s="2">
        <v>266</v>
      </c>
      <c r="C116" s="2">
        <v>208</v>
      </c>
      <c r="D116" s="2">
        <v>1016</v>
      </c>
      <c r="E116" s="9">
        <v>26</v>
      </c>
      <c r="F116" s="5">
        <v>5596.6236190278842</v>
      </c>
      <c r="G116" s="12">
        <v>8.5970573795633387E-2</v>
      </c>
      <c r="H116" s="12">
        <v>2.1497617150111457</v>
      </c>
      <c r="I116" s="31">
        <v>15611.981654164458</v>
      </c>
    </row>
    <row r="117" spans="1:9">
      <c r="A117" s="17">
        <v>115</v>
      </c>
      <c r="B117" s="2">
        <v>151</v>
      </c>
      <c r="C117" s="2">
        <v>55</v>
      </c>
      <c r="D117" s="2">
        <v>1012</v>
      </c>
      <c r="E117" s="9">
        <v>46</v>
      </c>
      <c r="F117" s="5">
        <v>760.95312286220815</v>
      </c>
      <c r="G117" s="12">
        <v>7.5628585277512317E-2</v>
      </c>
      <c r="H117" s="12">
        <v>3.3468416580228042</v>
      </c>
      <c r="I117" s="31">
        <v>15686.430556324387</v>
      </c>
    </row>
    <row r="118" spans="1:9">
      <c r="A118" s="17">
        <v>116</v>
      </c>
      <c r="B118" s="2">
        <v>247</v>
      </c>
      <c r="C118" s="2">
        <v>33</v>
      </c>
      <c r="D118" s="2">
        <v>1006</v>
      </c>
      <c r="E118" s="9">
        <v>16</v>
      </c>
      <c r="F118" s="5">
        <v>4589.5721276196646</v>
      </c>
      <c r="G118" s="12">
        <v>0.10578781047558877</v>
      </c>
      <c r="H118" s="12">
        <v>3.8212840449966099</v>
      </c>
      <c r="I118" s="31">
        <v>15923.230575917307</v>
      </c>
    </row>
    <row r="119" spans="1:9">
      <c r="A119" s="17">
        <v>117</v>
      </c>
      <c r="B119" s="2">
        <v>20</v>
      </c>
      <c r="C119" s="2">
        <v>176</v>
      </c>
      <c r="D119" s="2">
        <v>1011</v>
      </c>
      <c r="E119" s="9">
        <v>34</v>
      </c>
      <c r="F119" s="5">
        <v>2830.5311357912224</v>
      </c>
      <c r="G119" s="12">
        <v>7.2928260778893306E-2</v>
      </c>
      <c r="H119" s="12">
        <v>3.6418342586522887</v>
      </c>
      <c r="I119" s="31">
        <v>16605.708200385754</v>
      </c>
    </row>
    <row r="120" spans="1:9">
      <c r="A120" s="17">
        <v>118</v>
      </c>
      <c r="B120" s="2">
        <v>182</v>
      </c>
      <c r="C120" s="2">
        <v>140</v>
      </c>
      <c r="D120" s="2">
        <v>1014</v>
      </c>
      <c r="E120" s="9">
        <v>69</v>
      </c>
      <c r="F120" s="5">
        <v>2370.3824319995483</v>
      </c>
      <c r="G120" s="12">
        <v>7.7075717431283552E-2</v>
      </c>
      <c r="H120" s="12">
        <v>4.4506036158588174</v>
      </c>
      <c r="I120" s="31">
        <v>14967.86921687036</v>
      </c>
    </row>
    <row r="121" spans="1:9">
      <c r="A121" s="17">
        <v>119</v>
      </c>
      <c r="B121" s="2">
        <v>217</v>
      </c>
      <c r="C121" s="2">
        <v>55</v>
      </c>
      <c r="D121" s="2">
        <v>1003</v>
      </c>
      <c r="E121" s="9">
        <v>75</v>
      </c>
      <c r="F121" s="5">
        <v>2114.432438415367</v>
      </c>
      <c r="G121" s="12">
        <v>8.7125404902393344E-2</v>
      </c>
      <c r="H121" s="12">
        <v>2.4412408734598832</v>
      </c>
      <c r="I121" s="31">
        <v>14655.807239050238</v>
      </c>
    </row>
    <row r="122" spans="1:9">
      <c r="A122" s="17">
        <v>120</v>
      </c>
      <c r="B122" s="2">
        <v>34</v>
      </c>
      <c r="C122" s="2">
        <v>341</v>
      </c>
      <c r="D122" s="2">
        <v>1020</v>
      </c>
      <c r="E122" s="9">
        <v>47</v>
      </c>
      <c r="F122" s="5">
        <v>2642.8861343578837</v>
      </c>
      <c r="G122" s="12">
        <v>0.10145952884602011</v>
      </c>
      <c r="H122" s="12">
        <v>3.4938448880063153</v>
      </c>
      <c r="I122" s="31">
        <v>16551.43005189476</v>
      </c>
    </row>
    <row r="123" spans="1:9">
      <c r="A123" s="17">
        <v>121</v>
      </c>
      <c r="B123" s="2">
        <v>110</v>
      </c>
      <c r="C123" s="2">
        <v>289</v>
      </c>
      <c r="D123" s="2">
        <v>1012</v>
      </c>
      <c r="E123" s="9">
        <v>19</v>
      </c>
      <c r="F123" s="5">
        <v>5177.9345836184411</v>
      </c>
      <c r="G123" s="12">
        <v>7.6665261913034188E-2</v>
      </c>
      <c r="H123" s="12">
        <v>4.8378130112575306</v>
      </c>
      <c r="I123" s="31">
        <v>17388.816361180408</v>
      </c>
    </row>
    <row r="124" spans="1:9">
      <c r="A124" s="17">
        <v>122</v>
      </c>
      <c r="B124" s="2">
        <v>289</v>
      </c>
      <c r="C124" s="2">
        <v>77</v>
      </c>
      <c r="D124" s="2">
        <v>1020</v>
      </c>
      <c r="E124" s="9">
        <v>58</v>
      </c>
      <c r="F124" s="5">
        <v>5084.6712732158785</v>
      </c>
      <c r="G124" s="12">
        <v>7.3448546963730765E-2</v>
      </c>
      <c r="H124" s="12">
        <v>0.9632309485220325</v>
      </c>
      <c r="I124" s="31">
        <v>15117.180717224448</v>
      </c>
    </row>
    <row r="125" spans="1:9">
      <c r="A125" s="17">
        <v>123</v>
      </c>
      <c r="B125" s="2">
        <v>197</v>
      </c>
      <c r="C125" s="2">
        <v>67</v>
      </c>
      <c r="D125" s="2">
        <v>1019</v>
      </c>
      <c r="E125" s="9">
        <v>71</v>
      </c>
      <c r="F125" s="5">
        <v>8157.0094631201364</v>
      </c>
      <c r="G125" s="12">
        <v>5.2901356170763025E-2</v>
      </c>
      <c r="H125" s="12">
        <v>4.2529380414827571</v>
      </c>
      <c r="I125" s="31">
        <v>14781.607697459014</v>
      </c>
    </row>
    <row r="126" spans="1:9">
      <c r="A126" s="17">
        <v>124</v>
      </c>
      <c r="B126" s="2">
        <v>155</v>
      </c>
      <c r="C126" s="2">
        <v>132</v>
      </c>
      <c r="D126" s="2">
        <v>1022</v>
      </c>
      <c r="E126" s="9">
        <v>62</v>
      </c>
      <c r="F126" s="5">
        <v>5010.2780179822339</v>
      </c>
      <c r="G126" s="12">
        <v>3.8463910582207606E-2</v>
      </c>
      <c r="H126" s="12">
        <v>2.8731894478618689</v>
      </c>
      <c r="I126" s="31">
        <v>16634.496938767745</v>
      </c>
    </row>
    <row r="127" spans="1:9">
      <c r="A127" s="17">
        <v>125</v>
      </c>
      <c r="B127" s="2">
        <v>308</v>
      </c>
      <c r="C127" s="2">
        <v>59</v>
      </c>
      <c r="D127" s="2">
        <v>1017</v>
      </c>
      <c r="E127" s="9">
        <v>68</v>
      </c>
      <c r="F127" s="5">
        <v>2655.4982844385968</v>
      </c>
      <c r="G127" s="12">
        <v>8.5514651914194106E-2</v>
      </c>
      <c r="H127" s="12">
        <v>3.2287993564431692</v>
      </c>
      <c r="I127" s="31">
        <v>17700.640770980874</v>
      </c>
    </row>
    <row r="128" spans="1:9">
      <c r="A128" s="17">
        <v>126</v>
      </c>
      <c r="B128" s="2">
        <v>127</v>
      </c>
      <c r="C128" s="2">
        <v>86</v>
      </c>
      <c r="D128" s="2">
        <v>1008</v>
      </c>
      <c r="E128" s="9">
        <v>88</v>
      </c>
      <c r="F128" s="5">
        <v>3211.0863238626343</v>
      </c>
      <c r="G128" s="12">
        <v>3.6564921660895922E-2</v>
      </c>
      <c r="H128" s="12">
        <v>1.1926578379267816</v>
      </c>
      <c r="I128" s="31">
        <v>16075.108220483718</v>
      </c>
    </row>
    <row r="129" spans="1:9">
      <c r="A129" s="17">
        <v>127</v>
      </c>
      <c r="B129" s="2">
        <v>70</v>
      </c>
      <c r="C129" s="2">
        <v>338</v>
      </c>
      <c r="D129" s="2">
        <v>1012</v>
      </c>
      <c r="E129" s="9">
        <v>79</v>
      </c>
      <c r="F129" s="5">
        <v>3356.5009376793178</v>
      </c>
      <c r="G129" s="12">
        <v>9.4600181478084411E-2</v>
      </c>
      <c r="H129" s="12">
        <v>4.860822960048317</v>
      </c>
      <c r="I129" s="31">
        <v>15059.085096417595</v>
      </c>
    </row>
    <row r="130" spans="1:9">
      <c r="A130" s="17">
        <v>128</v>
      </c>
      <c r="B130" s="2">
        <v>282</v>
      </c>
      <c r="C130" s="2">
        <v>269</v>
      </c>
      <c r="D130" s="2">
        <v>1020</v>
      </c>
      <c r="E130" s="9">
        <v>60</v>
      </c>
      <c r="F130" s="5">
        <v>4970.0477305527393</v>
      </c>
      <c r="G130" s="12">
        <v>6.154618383322813E-2</v>
      </c>
      <c r="H130" s="12">
        <v>3.5651769935406539</v>
      </c>
      <c r="I130" s="31">
        <v>14972.09628922011</v>
      </c>
    </row>
    <row r="131" spans="1:9">
      <c r="A131" s="17">
        <v>129</v>
      </c>
      <c r="B131" s="2">
        <v>182</v>
      </c>
      <c r="C131" s="2">
        <v>249</v>
      </c>
      <c r="D131" s="2">
        <v>1023</v>
      </c>
      <c r="E131" s="9">
        <v>72</v>
      </c>
      <c r="F131" s="5">
        <v>6325.5418067132787</v>
      </c>
      <c r="G131" s="12">
        <v>7.5655226291813593E-2</v>
      </c>
      <c r="H131" s="12">
        <v>4.2036638797150587</v>
      </c>
      <c r="I131" s="31">
        <v>16270.809996676155</v>
      </c>
    </row>
    <row r="132" spans="1:9">
      <c r="A132" s="17">
        <v>130</v>
      </c>
      <c r="B132" s="2">
        <v>321</v>
      </c>
      <c r="C132" s="2">
        <v>241</v>
      </c>
      <c r="D132" s="2">
        <v>1008</v>
      </c>
      <c r="E132" s="9">
        <v>32</v>
      </c>
      <c r="F132" s="5">
        <v>4403.3785077881084</v>
      </c>
      <c r="G132" s="12">
        <v>6.3083643785715682E-2</v>
      </c>
      <c r="H132" s="12">
        <v>2.0550403758158429</v>
      </c>
      <c r="I132" s="31">
        <v>17834.498062056275</v>
      </c>
    </row>
    <row r="133" spans="1:9">
      <c r="A133" s="17">
        <v>131</v>
      </c>
      <c r="B133" s="2">
        <v>336</v>
      </c>
      <c r="C133" s="2">
        <v>235</v>
      </c>
      <c r="D133" s="2">
        <v>1012</v>
      </c>
      <c r="E133" s="9">
        <v>88</v>
      </c>
      <c r="F133" s="5">
        <v>811.90436616403258</v>
      </c>
      <c r="G133" s="12">
        <v>7.1636546640432786E-2</v>
      </c>
      <c r="H133" s="12">
        <v>4.5630691655639382</v>
      </c>
      <c r="I133" s="31">
        <v>15895.25079760225</v>
      </c>
    </row>
    <row r="134" spans="1:9">
      <c r="A134" s="17">
        <v>132</v>
      </c>
      <c r="B134" s="2">
        <v>356</v>
      </c>
      <c r="C134" s="2">
        <v>191</v>
      </c>
      <c r="D134" s="2">
        <v>1001</v>
      </c>
      <c r="E134" s="9">
        <v>24</v>
      </c>
      <c r="F134" s="5">
        <v>2989.0354105186425</v>
      </c>
      <c r="G134" s="12">
        <v>9.6615703664495955E-2</v>
      </c>
      <c r="H134" s="12">
        <v>2.9808481939789364</v>
      </c>
      <c r="I134" s="31">
        <v>16783.056823059644</v>
      </c>
    </row>
    <row r="135" spans="1:9">
      <c r="A135" s="17">
        <v>133</v>
      </c>
      <c r="B135" s="2">
        <v>244</v>
      </c>
      <c r="C135" s="2">
        <v>131</v>
      </c>
      <c r="D135" s="2">
        <v>1003</v>
      </c>
      <c r="E135" s="9">
        <v>77</v>
      </c>
      <c r="F135" s="5">
        <v>4009.2666197046647</v>
      </c>
      <c r="G135" s="12">
        <v>3.0934738911013115E-2</v>
      </c>
      <c r="H135" s="12">
        <v>2.1037114746399586</v>
      </c>
      <c r="I135" s="31">
        <v>16238.89396203541</v>
      </c>
    </row>
    <row r="136" spans="1:9">
      <c r="A136" s="17">
        <v>134</v>
      </c>
      <c r="B136" s="2">
        <v>212</v>
      </c>
      <c r="C136" s="2">
        <v>279</v>
      </c>
      <c r="D136" s="2">
        <v>1010</v>
      </c>
      <c r="E136" s="9">
        <v>25</v>
      </c>
      <c r="F136" s="5">
        <v>6218.9563630222046</v>
      </c>
      <c r="G136" s="12">
        <v>9.5672210086262199E-2</v>
      </c>
      <c r="H136" s="12">
        <v>1.8512759007273236</v>
      </c>
      <c r="I136" s="31">
        <v>13906.556617056969</v>
      </c>
    </row>
    <row r="137" spans="1:9">
      <c r="A137" s="17">
        <v>135</v>
      </c>
      <c r="B137" s="2">
        <v>272</v>
      </c>
      <c r="C137" s="2">
        <v>78</v>
      </c>
      <c r="D137" s="2">
        <v>1022</v>
      </c>
      <c r="E137" s="9">
        <v>51</v>
      </c>
      <c r="F137" s="5">
        <v>4075.5526625566354</v>
      </c>
      <c r="G137" s="12">
        <v>8.4279099260014478E-2</v>
      </c>
      <c r="H137" s="12">
        <v>1.7153477889530042</v>
      </c>
      <c r="I137" s="31">
        <v>14743.623438316183</v>
      </c>
    </row>
    <row r="138" spans="1:9">
      <c r="A138" s="17">
        <v>136</v>
      </c>
      <c r="B138" s="2">
        <v>287</v>
      </c>
      <c r="C138" s="2">
        <v>172</v>
      </c>
      <c r="D138" s="2">
        <v>1010</v>
      </c>
      <c r="E138" s="9">
        <v>38</v>
      </c>
      <c r="F138" s="5">
        <v>654.97922812888373</v>
      </c>
      <c r="G138" s="12">
        <v>8.6465065864898494E-2</v>
      </c>
      <c r="H138" s="12">
        <v>2.6612589695184217</v>
      </c>
      <c r="I138" s="31">
        <v>17184.716760293133</v>
      </c>
    </row>
    <row r="139" spans="1:9">
      <c r="A139" s="17">
        <v>137</v>
      </c>
      <c r="B139" s="2">
        <v>287</v>
      </c>
      <c r="C139" s="2">
        <v>100</v>
      </c>
      <c r="D139" s="2">
        <v>1001</v>
      </c>
      <c r="E139" s="9">
        <v>42</v>
      </c>
      <c r="F139" s="5">
        <v>1260.6723951734757</v>
      </c>
      <c r="G139" s="12">
        <v>1.1277009557373818E-2</v>
      </c>
      <c r="H139" s="12">
        <v>4.9811017780791005</v>
      </c>
      <c r="I139" s="31">
        <v>16209.540999606736</v>
      </c>
    </row>
    <row r="140" spans="1:9">
      <c r="A140" s="17">
        <v>138</v>
      </c>
      <c r="B140" s="2">
        <v>289</v>
      </c>
      <c r="C140" s="2">
        <v>199</v>
      </c>
      <c r="D140" s="2">
        <v>1002</v>
      </c>
      <c r="E140" s="9">
        <v>29</v>
      </c>
      <c r="F140" s="5">
        <v>5473.8530714139024</v>
      </c>
      <c r="G140" s="12">
        <v>6.3557084372290407E-2</v>
      </c>
      <c r="H140" s="12">
        <v>4.9115763328097088</v>
      </c>
      <c r="I140" s="31">
        <v>15451.330376872113</v>
      </c>
    </row>
    <row r="141" spans="1:9">
      <c r="A141" s="17">
        <v>139</v>
      </c>
      <c r="B141" s="2">
        <v>237</v>
      </c>
      <c r="C141" s="2">
        <v>200</v>
      </c>
      <c r="D141" s="2">
        <v>1003</v>
      </c>
      <c r="E141" s="9">
        <v>95</v>
      </c>
      <c r="F141" s="5">
        <v>650.17061029671549</v>
      </c>
      <c r="G141" s="12">
        <v>6.1706199298781572E-2</v>
      </c>
      <c r="H141" s="12">
        <v>1.4711591324009352</v>
      </c>
      <c r="I141" s="31">
        <v>15763.699554717652</v>
      </c>
    </row>
    <row r="142" spans="1:9">
      <c r="A142" s="17">
        <v>140</v>
      </c>
      <c r="B142" s="2">
        <v>341</v>
      </c>
      <c r="C142" s="2">
        <v>230</v>
      </c>
      <c r="D142" s="2">
        <v>1003</v>
      </c>
      <c r="E142" s="9">
        <v>95</v>
      </c>
      <c r="F142" s="5">
        <v>4607.4850667827895</v>
      </c>
      <c r="G142" s="12">
        <v>1.8618992412369695E-2</v>
      </c>
      <c r="H142" s="12">
        <v>2.4609358724853156</v>
      </c>
      <c r="I142" s="31">
        <v>15893.458797453979</v>
      </c>
    </row>
    <row r="143" spans="1:9">
      <c r="A143" s="17">
        <v>141</v>
      </c>
      <c r="B143" s="2">
        <v>150</v>
      </c>
      <c r="C143" s="2">
        <v>297</v>
      </c>
      <c r="D143" s="2">
        <v>1009</v>
      </c>
      <c r="E143" s="9">
        <v>43</v>
      </c>
      <c r="F143" s="5">
        <v>6174.6777052662374</v>
      </c>
      <c r="G143" s="12">
        <v>7.5508737008816385E-2</v>
      </c>
      <c r="H143" s="12">
        <v>2.0747277891438718</v>
      </c>
      <c r="I143" s="31">
        <v>16497.73558345206</v>
      </c>
    </row>
    <row r="144" spans="1:9">
      <c r="A144" s="17">
        <v>142</v>
      </c>
      <c r="B144" s="2">
        <v>14</v>
      </c>
      <c r="C144" s="2">
        <v>201</v>
      </c>
      <c r="D144" s="2">
        <v>1010</v>
      </c>
      <c r="E144" s="9">
        <v>28</v>
      </c>
      <c r="F144" s="5">
        <v>4094.240509645676</v>
      </c>
      <c r="G144" s="12">
        <v>7.0102353297328224E-2</v>
      </c>
      <c r="H144" s="12">
        <v>3.4011097372478436</v>
      </c>
      <c r="I144" s="31">
        <v>17305.360354275228</v>
      </c>
    </row>
    <row r="145" spans="1:9">
      <c r="A145" s="17">
        <v>143</v>
      </c>
      <c r="B145" s="2">
        <v>244</v>
      </c>
      <c r="C145" s="2">
        <v>250</v>
      </c>
      <c r="D145" s="2">
        <v>1005</v>
      </c>
      <c r="E145" s="9">
        <v>41</v>
      </c>
      <c r="F145" s="5">
        <v>2403.4982269308393</v>
      </c>
      <c r="G145" s="12">
        <v>3.9476317519869186E-2</v>
      </c>
      <c r="H145" s="12">
        <v>3.7524817695463573</v>
      </c>
      <c r="I145" s="31">
        <v>15478.638411131589</v>
      </c>
    </row>
    <row r="146" spans="1:9">
      <c r="A146" s="17">
        <v>144</v>
      </c>
      <c r="B146" s="2">
        <v>64</v>
      </c>
      <c r="C146" s="2">
        <v>217</v>
      </c>
      <c r="D146" s="2">
        <v>1019</v>
      </c>
      <c r="E146" s="9">
        <v>50</v>
      </c>
      <c r="F146" s="5">
        <v>3838.3680068540862</v>
      </c>
      <c r="G146" s="12">
        <v>6.960653038720338E-2</v>
      </c>
      <c r="H146" s="12">
        <v>2.85367271272542</v>
      </c>
      <c r="I146" s="31">
        <v>15388.208963649424</v>
      </c>
    </row>
    <row r="147" spans="1:9">
      <c r="A147" s="17">
        <v>145</v>
      </c>
      <c r="B147" s="2">
        <v>1</v>
      </c>
      <c r="C147" s="2">
        <v>51</v>
      </c>
      <c r="D147" s="2">
        <v>1018</v>
      </c>
      <c r="E147" s="9">
        <v>57</v>
      </c>
      <c r="F147" s="5">
        <v>3655.4143398911556</v>
      </c>
      <c r="G147" s="12">
        <v>5.3384765965232506E-2</v>
      </c>
      <c r="H147" s="12">
        <v>3.9480916199260538</v>
      </c>
      <c r="I147" s="31">
        <v>16216.649608194904</v>
      </c>
    </row>
    <row r="148" spans="1:9">
      <c r="A148" s="17">
        <v>146</v>
      </c>
      <c r="B148" s="2">
        <v>21</v>
      </c>
      <c r="C148" s="2">
        <v>296</v>
      </c>
      <c r="D148" s="2">
        <v>1002</v>
      </c>
      <c r="E148" s="9">
        <v>87</v>
      </c>
      <c r="F148" s="5">
        <v>5173.1531922809672</v>
      </c>
      <c r="G148" s="12">
        <v>6.44744208783537E-2</v>
      </c>
      <c r="H148" s="12">
        <v>2.5398713753838185</v>
      </c>
      <c r="I148" s="31">
        <v>16766.80389371487</v>
      </c>
    </row>
    <row r="149" spans="1:9">
      <c r="A149" s="17">
        <v>147</v>
      </c>
      <c r="B149" s="2">
        <v>326</v>
      </c>
      <c r="C149" s="2">
        <v>65</v>
      </c>
      <c r="D149" s="2">
        <v>1002</v>
      </c>
      <c r="E149" s="9">
        <v>44</v>
      </c>
      <c r="F149" s="5">
        <v>4412.9915547609535</v>
      </c>
      <c r="G149" s="12">
        <v>8.1332230442852593E-2</v>
      </c>
      <c r="H149" s="12">
        <v>3.3082987295153363</v>
      </c>
      <c r="I149" s="31">
        <v>17965.447192891053</v>
      </c>
    </row>
    <row r="150" spans="1:9">
      <c r="A150" s="17">
        <v>148</v>
      </c>
      <c r="B150" s="2">
        <v>248</v>
      </c>
      <c r="C150" s="2">
        <v>87</v>
      </c>
      <c r="D150" s="2">
        <v>1003</v>
      </c>
      <c r="E150" s="9">
        <v>52</v>
      </c>
      <c r="F150" s="5">
        <v>6354.2971738019851</v>
      </c>
      <c r="G150" s="12">
        <v>0.11043655858418205</v>
      </c>
      <c r="H150" s="12">
        <v>3.4021338063973237</v>
      </c>
      <c r="I150" s="31">
        <v>15129.763630265563</v>
      </c>
    </row>
    <row r="151" spans="1:9">
      <c r="A151" s="17">
        <v>149</v>
      </c>
      <c r="B151" s="2">
        <v>261</v>
      </c>
      <c r="C151" s="2">
        <v>134</v>
      </c>
      <c r="D151" s="2">
        <v>1010</v>
      </c>
      <c r="E151" s="9">
        <v>97</v>
      </c>
      <c r="F151" s="5">
        <v>7340.7842843330009</v>
      </c>
      <c r="G151" s="12">
        <v>9.9074758813797958E-2</v>
      </c>
      <c r="H151" s="12">
        <v>4.5588262321495492</v>
      </c>
      <c r="I151" s="31">
        <v>14936.289054257406</v>
      </c>
    </row>
    <row r="152" spans="1:9">
      <c r="A152" s="17">
        <v>150</v>
      </c>
      <c r="B152" s="2">
        <v>326</v>
      </c>
      <c r="C152" s="2">
        <v>63</v>
      </c>
      <c r="D152" s="2">
        <v>1012</v>
      </c>
      <c r="E152" s="9">
        <v>94</v>
      </c>
      <c r="F152" s="5">
        <v>5820.1259139736585</v>
      </c>
      <c r="G152" s="12">
        <v>3.2973877473408353E-2</v>
      </c>
      <c r="H152" s="12">
        <v>4.4189409148963747</v>
      </c>
      <c r="I152" s="31">
        <v>15425.42931872905</v>
      </c>
    </row>
    <row r="153" spans="1:9">
      <c r="A153" s="17">
        <v>151</v>
      </c>
      <c r="B153" s="2">
        <v>335</v>
      </c>
      <c r="C153" s="2">
        <v>31</v>
      </c>
      <c r="D153" s="2">
        <v>1016</v>
      </c>
      <c r="E153" s="9">
        <v>97</v>
      </c>
      <c r="F153" s="5">
        <v>3427.5579001400338</v>
      </c>
      <c r="G153" s="12">
        <v>6.5193679870275079E-2</v>
      </c>
      <c r="H153" s="12">
        <v>3.2243920662517032</v>
      </c>
      <c r="I153" s="31">
        <v>15718.039390939713</v>
      </c>
    </row>
    <row r="154" spans="1:9">
      <c r="A154" s="17">
        <v>152</v>
      </c>
      <c r="B154" s="2">
        <v>267</v>
      </c>
      <c r="C154" s="2">
        <v>2</v>
      </c>
      <c r="D154" s="2">
        <v>1011</v>
      </c>
      <c r="E154" s="9">
        <v>20</v>
      </c>
      <c r="F154" s="5">
        <v>478.13267336046647</v>
      </c>
      <c r="G154" s="12">
        <v>9.24961462759471E-2</v>
      </c>
      <c r="H154" s="12">
        <v>2.1083020858520105</v>
      </c>
      <c r="I154" s="31">
        <v>14803.605267279101</v>
      </c>
    </row>
    <row r="155" spans="1:9">
      <c r="A155" s="17">
        <v>153</v>
      </c>
      <c r="B155" s="2">
        <v>204</v>
      </c>
      <c r="C155" s="2">
        <v>339</v>
      </c>
      <c r="D155" s="2">
        <v>1012</v>
      </c>
      <c r="E155" s="9">
        <v>28</v>
      </c>
      <c r="F155" s="5">
        <v>2752.8225312421064</v>
      </c>
      <c r="G155" s="12">
        <v>5.1488148360361807E-2</v>
      </c>
      <c r="H155" s="12">
        <v>4.0855141140888733</v>
      </c>
      <c r="I155" s="31">
        <v>17476.405232427544</v>
      </c>
    </row>
    <row r="156" spans="1:9">
      <c r="A156" s="17">
        <v>154</v>
      </c>
      <c r="B156" s="2">
        <v>165</v>
      </c>
      <c r="C156" s="2">
        <v>290</v>
      </c>
      <c r="D156" s="2">
        <v>1010</v>
      </c>
      <c r="E156" s="9">
        <v>49</v>
      </c>
      <c r="F156" s="5">
        <v>2102.7124796223297</v>
      </c>
      <c r="G156" s="12">
        <v>9.7750693143892564E-2</v>
      </c>
      <c r="H156" s="12">
        <v>1.6063716600535192</v>
      </c>
      <c r="I156" s="31">
        <v>16517.023649047962</v>
      </c>
    </row>
    <row r="157" spans="1:9">
      <c r="A157" s="17">
        <v>155</v>
      </c>
      <c r="B157" s="2">
        <v>180</v>
      </c>
      <c r="C157" s="2">
        <v>222</v>
      </c>
      <c r="D157" s="2">
        <v>1004</v>
      </c>
      <c r="E157" s="9">
        <v>43</v>
      </c>
      <c r="F157" s="5">
        <v>4747.7392126820241</v>
      </c>
      <c r="G157" s="12">
        <v>8.1024443247655287E-2</v>
      </c>
      <c r="H157" s="12">
        <v>3.1301005832426019</v>
      </c>
      <c r="I157" s="31">
        <v>15605.09422959459</v>
      </c>
    </row>
    <row r="158" spans="1:9">
      <c r="A158" s="17">
        <v>156</v>
      </c>
      <c r="B158" s="2">
        <v>259</v>
      </c>
      <c r="C158" s="2">
        <v>242</v>
      </c>
      <c r="D158" s="2">
        <v>1008</v>
      </c>
      <c r="E158" s="9">
        <v>84</v>
      </c>
      <c r="F158" s="5">
        <v>980.76727494977331</v>
      </c>
      <c r="G158" s="12">
        <v>8.2835451489585099E-2</v>
      </c>
      <c r="H158" s="12">
        <v>0.88262027078024419</v>
      </c>
      <c r="I158" s="31">
        <v>14678.613768937259</v>
      </c>
    </row>
    <row r="159" spans="1:9">
      <c r="A159" s="17">
        <v>157</v>
      </c>
      <c r="B159" s="2">
        <v>312</v>
      </c>
      <c r="C159" s="2">
        <v>140</v>
      </c>
      <c r="D159" s="2">
        <v>1006</v>
      </c>
      <c r="E159" s="9">
        <v>55</v>
      </c>
      <c r="F159" s="5">
        <v>6622.7504114881021</v>
      </c>
      <c r="G159" s="12">
        <v>6.6391388249825101E-2</v>
      </c>
      <c r="H159" s="12">
        <v>4.4797175224936652</v>
      </c>
      <c r="I159" s="31">
        <v>15097.743147616176</v>
      </c>
    </row>
    <row r="160" spans="1:9">
      <c r="A160" s="17">
        <v>158</v>
      </c>
      <c r="B160" s="2">
        <v>53</v>
      </c>
      <c r="C160" s="2">
        <v>7</v>
      </c>
      <c r="D160" s="2">
        <v>1001</v>
      </c>
      <c r="E160" s="9">
        <v>32</v>
      </c>
      <c r="F160" s="5">
        <v>6442.0753926965126</v>
      </c>
      <c r="G160" s="12">
        <v>7.5983968181275119E-2</v>
      </c>
      <c r="H160" s="12">
        <v>3.5842992724121179</v>
      </c>
      <c r="I160" s="31">
        <v>16327.396241358121</v>
      </c>
    </row>
    <row r="161" spans="1:9">
      <c r="A161" s="17">
        <v>159</v>
      </c>
      <c r="B161" s="2">
        <v>239</v>
      </c>
      <c r="C161" s="2">
        <v>112</v>
      </c>
      <c r="D161" s="2">
        <v>1019</v>
      </c>
      <c r="E161" s="9">
        <v>63</v>
      </c>
      <c r="F161" s="5">
        <v>4513.8028872310833</v>
      </c>
      <c r="G161" s="12">
        <v>8.2019379874394505E-2</v>
      </c>
      <c r="H161" s="12">
        <v>3.2822595588947299</v>
      </c>
      <c r="I161" s="31">
        <v>16271.996812774352</v>
      </c>
    </row>
    <row r="162" spans="1:9">
      <c r="A162" s="17">
        <v>160</v>
      </c>
      <c r="B162" s="2">
        <v>310</v>
      </c>
      <c r="C162" s="2">
        <v>269</v>
      </c>
      <c r="D162" s="2">
        <v>1008</v>
      </c>
      <c r="E162" s="9">
        <v>41</v>
      </c>
      <c r="F162" s="5">
        <v>2749.6684465490553</v>
      </c>
      <c r="G162" s="12">
        <v>6.8398925391078225E-2</v>
      </c>
      <c r="H162" s="12">
        <v>2.6452000481150937</v>
      </c>
      <c r="I162" s="31">
        <v>15784.381284428866</v>
      </c>
    </row>
    <row r="163" spans="1:9">
      <c r="A163" s="17">
        <v>161</v>
      </c>
      <c r="B163" s="2">
        <v>103</v>
      </c>
      <c r="C163" s="2">
        <v>8</v>
      </c>
      <c r="D163" s="2">
        <v>1006</v>
      </c>
      <c r="E163" s="9">
        <v>36</v>
      </c>
      <c r="F163" s="5">
        <v>2532.5601891649576</v>
      </c>
      <c r="G163" s="12">
        <v>7.1727769732091107E-2</v>
      </c>
      <c r="H163" s="12">
        <v>4.1559928286653118</v>
      </c>
      <c r="I163" s="31">
        <v>14921.955101071409</v>
      </c>
    </row>
    <row r="164" spans="1:9">
      <c r="A164" s="17">
        <v>162</v>
      </c>
      <c r="B164" s="2">
        <v>194</v>
      </c>
      <c r="C164" s="2">
        <v>358</v>
      </c>
      <c r="D164" s="2">
        <v>1014</v>
      </c>
      <c r="E164" s="9">
        <v>82</v>
      </c>
      <c r="F164" s="5">
        <v>2768.7353702180708</v>
      </c>
      <c r="G164" s="12">
        <v>5.770327196375874E-2</v>
      </c>
      <c r="H164" s="12">
        <v>4.2938780503697487</v>
      </c>
      <c r="I164" s="31">
        <v>16428.742553743552</v>
      </c>
    </row>
    <row r="165" spans="1:9">
      <c r="A165" s="17">
        <v>163</v>
      </c>
      <c r="B165" s="2">
        <v>230</v>
      </c>
      <c r="C165" s="2">
        <v>100</v>
      </c>
      <c r="D165" s="2">
        <v>1017</v>
      </c>
      <c r="E165" s="9">
        <v>76</v>
      </c>
      <c r="F165" s="5">
        <v>5058.2867055113247</v>
      </c>
      <c r="G165" s="12">
        <v>0.10952965103103779</v>
      </c>
      <c r="H165" s="12">
        <v>3.4148259424363734</v>
      </c>
      <c r="I165" s="31">
        <v>17573.574648467376</v>
      </c>
    </row>
    <row r="166" spans="1:9">
      <c r="A166" s="17">
        <v>164</v>
      </c>
      <c r="B166" s="2">
        <v>209</v>
      </c>
      <c r="C166" s="2">
        <v>24</v>
      </c>
      <c r="D166" s="2">
        <v>1001</v>
      </c>
      <c r="E166" s="9">
        <v>54</v>
      </c>
      <c r="F166" s="5">
        <v>7522.7075331890383</v>
      </c>
      <c r="G166" s="12">
        <v>4.9862489954533518E-2</v>
      </c>
      <c r="H166" s="12">
        <v>4.3756720969064915</v>
      </c>
      <c r="I166" s="31">
        <v>16623.361961846433</v>
      </c>
    </row>
    <row r="167" spans="1:9">
      <c r="A167" s="17">
        <v>165</v>
      </c>
      <c r="B167" s="2">
        <v>271</v>
      </c>
      <c r="C167" s="2">
        <v>87</v>
      </c>
      <c r="D167" s="2">
        <v>1019</v>
      </c>
      <c r="E167" s="9">
        <v>26</v>
      </c>
      <c r="F167" s="5">
        <v>4228.4901662919374</v>
      </c>
      <c r="G167" s="12">
        <v>8.1244588522962291E-2</v>
      </c>
      <c r="H167" s="12">
        <v>3.1865811575436784</v>
      </c>
      <c r="I167" s="31">
        <v>15794.763621287904</v>
      </c>
    </row>
    <row r="168" spans="1:9">
      <c r="A168" s="17">
        <v>166</v>
      </c>
      <c r="B168" s="2">
        <v>246</v>
      </c>
      <c r="C168" s="2">
        <v>332</v>
      </c>
      <c r="D168" s="2">
        <v>1020</v>
      </c>
      <c r="E168" s="9">
        <v>66</v>
      </c>
      <c r="F168" s="5">
        <v>6487.0032976336524</v>
      </c>
      <c r="G168" s="12">
        <v>6.0655222173294165E-2</v>
      </c>
      <c r="H168" s="12">
        <v>3.0477464593808965</v>
      </c>
      <c r="I168" s="31">
        <v>14901.081883344352</v>
      </c>
    </row>
    <row r="169" spans="1:9">
      <c r="A169" s="17">
        <v>167</v>
      </c>
      <c r="B169" s="2">
        <v>32</v>
      </c>
      <c r="C169" s="2">
        <v>45</v>
      </c>
      <c r="D169" s="2">
        <v>1004</v>
      </c>
      <c r="E169" s="9">
        <v>84</v>
      </c>
      <c r="F169" s="5">
        <v>4514.087718252501</v>
      </c>
      <c r="G169" s="12">
        <v>8.5430808940030689E-2</v>
      </c>
      <c r="H169" s="12">
        <v>3.1301005832426019</v>
      </c>
      <c r="I169" s="31">
        <v>16149.067650603149</v>
      </c>
    </row>
    <row r="170" spans="1:9">
      <c r="A170" s="17">
        <v>168</v>
      </c>
      <c r="B170" s="2">
        <v>11</v>
      </c>
      <c r="C170" s="2">
        <v>36</v>
      </c>
      <c r="D170" s="2">
        <v>1018</v>
      </c>
      <c r="E170" s="9">
        <v>54</v>
      </c>
      <c r="F170" s="5">
        <v>1584.5671534402363</v>
      </c>
      <c r="G170" s="12">
        <v>5.2345984181441596E-2</v>
      </c>
      <c r="H170" s="12">
        <v>3.0863235235266804</v>
      </c>
      <c r="I170" s="31">
        <v>15922.128751826142</v>
      </c>
    </row>
    <row r="171" spans="1:9">
      <c r="A171" s="17">
        <v>169</v>
      </c>
      <c r="B171" s="2">
        <v>284</v>
      </c>
      <c r="C171" s="2">
        <v>297</v>
      </c>
      <c r="D171" s="2">
        <v>1015</v>
      </c>
      <c r="E171" s="9">
        <v>25</v>
      </c>
      <c r="F171" s="5">
        <v>2958.4412078651958</v>
      </c>
      <c r="G171" s="12">
        <v>0.10407784935057279</v>
      </c>
      <c r="H171" s="12">
        <v>3.6150997324363563</v>
      </c>
      <c r="I171" s="31">
        <v>16372.54952509412</v>
      </c>
    </row>
    <row r="172" spans="1:9">
      <c r="A172" s="17">
        <v>170</v>
      </c>
      <c r="B172" s="2">
        <v>348</v>
      </c>
      <c r="C172" s="2">
        <v>254</v>
      </c>
      <c r="D172" s="2">
        <v>1011</v>
      </c>
      <c r="E172" s="9">
        <v>63</v>
      </c>
      <c r="F172" s="5">
        <v>2718.26163774627</v>
      </c>
      <c r="G172" s="12">
        <v>0.1446530094243586</v>
      </c>
      <c r="H172" s="12">
        <v>2.2947231281101996</v>
      </c>
      <c r="I172" s="31">
        <v>15805.962086214469</v>
      </c>
    </row>
    <row r="173" spans="1:9">
      <c r="A173" s="17">
        <v>171</v>
      </c>
      <c r="B173" s="2">
        <v>101</v>
      </c>
      <c r="C173" s="2">
        <v>304</v>
      </c>
      <c r="D173" s="2">
        <v>1023</v>
      </c>
      <c r="E173" s="9">
        <v>28</v>
      </c>
      <c r="F173" s="5">
        <v>4485.6674464831094</v>
      </c>
      <c r="G173" s="12">
        <v>9.1769168407039248E-2</v>
      </c>
      <c r="H173" s="12">
        <v>2.9220451319894711</v>
      </c>
      <c r="I173" s="31">
        <v>16264.363916142804</v>
      </c>
    </row>
    <row r="174" spans="1:9">
      <c r="A174" s="17">
        <v>172</v>
      </c>
      <c r="B174" s="2">
        <v>332</v>
      </c>
      <c r="C174" s="2">
        <v>289</v>
      </c>
      <c r="D174" s="2">
        <v>1011</v>
      </c>
      <c r="E174" s="9">
        <v>41</v>
      </c>
      <c r="F174" s="5">
        <v>4111.923070776772</v>
      </c>
      <c r="G174" s="12">
        <v>0.10374663935624412</v>
      </c>
      <c r="H174" s="12">
        <v>2.7086784282709506</v>
      </c>
      <c r="I174" s="31">
        <v>16498.579359521875</v>
      </c>
    </row>
    <row r="175" spans="1:9">
      <c r="A175" s="17">
        <v>173</v>
      </c>
      <c r="B175" s="2">
        <v>193</v>
      </c>
      <c r="C175" s="2">
        <v>101</v>
      </c>
      <c r="D175" s="2">
        <v>1015</v>
      </c>
      <c r="E175" s="9">
        <v>45</v>
      </c>
      <c r="F175" s="5">
        <v>3599.0345524164304</v>
      </c>
      <c r="G175" s="12">
        <v>6.2664307929365892E-2</v>
      </c>
      <c r="H175" s="12">
        <v>4.4981254815262943</v>
      </c>
      <c r="I175" s="31">
        <v>16139.69702582782</v>
      </c>
    </row>
    <row r="176" spans="1:9">
      <c r="A176" s="17">
        <v>174</v>
      </c>
      <c r="B176" s="2">
        <v>22</v>
      </c>
      <c r="C176" s="2">
        <v>334</v>
      </c>
      <c r="D176" s="2">
        <v>1001</v>
      </c>
      <c r="E176" s="9">
        <v>64</v>
      </c>
      <c r="F176" s="5">
        <v>4906.1303927391755</v>
      </c>
      <c r="G176" s="12">
        <v>9.3209815736257584E-2</v>
      </c>
      <c r="H176" s="12">
        <v>2.07186545265693</v>
      </c>
      <c r="I176" s="31">
        <v>16029.85970473984</v>
      </c>
    </row>
    <row r="177" spans="1:9">
      <c r="A177" s="17">
        <v>175</v>
      </c>
      <c r="B177" s="2">
        <v>311</v>
      </c>
      <c r="C177" s="2">
        <v>93</v>
      </c>
      <c r="D177" s="2">
        <v>1023</v>
      </c>
      <c r="E177" s="9">
        <v>58</v>
      </c>
      <c r="F177" s="5">
        <v>5448.942923114334</v>
      </c>
      <c r="G177" s="12">
        <v>0.12447765556760132</v>
      </c>
      <c r="H177" s="12">
        <v>3.1791610812001001</v>
      </c>
      <c r="I177" s="31">
        <v>17065.467854426435</v>
      </c>
    </row>
    <row r="178" spans="1:9">
      <c r="A178" s="17">
        <v>176</v>
      </c>
      <c r="B178" s="2">
        <v>158</v>
      </c>
      <c r="C178" s="2">
        <v>337</v>
      </c>
      <c r="D178" s="2">
        <v>1007</v>
      </c>
      <c r="E178" s="9">
        <v>90</v>
      </c>
      <c r="F178" s="5">
        <v>5449.4644152050178</v>
      </c>
      <c r="G178" s="12">
        <v>7.3810922831283821E-2</v>
      </c>
      <c r="H178" s="12">
        <v>1.9854921734542406</v>
      </c>
      <c r="I178" s="31">
        <v>15720.726367162035</v>
      </c>
    </row>
    <row r="179" spans="1:9">
      <c r="A179" s="17">
        <v>177</v>
      </c>
      <c r="B179" s="2">
        <v>80</v>
      </c>
      <c r="C179" s="2">
        <v>101</v>
      </c>
      <c r="D179" s="2">
        <v>1017</v>
      </c>
      <c r="E179" s="9">
        <v>56</v>
      </c>
      <c r="F179" s="5">
        <v>7431.5951158673279</v>
      </c>
      <c r="G179" s="12">
        <v>7.3463283001614033E-2</v>
      </c>
      <c r="H179" s="12">
        <v>1.9160400565930833</v>
      </c>
      <c r="I179" s="31">
        <v>14836.756246022025</v>
      </c>
    </row>
    <row r="180" spans="1:9">
      <c r="A180" s="17">
        <v>178</v>
      </c>
      <c r="B180" s="2">
        <v>34</v>
      </c>
      <c r="C180" s="2">
        <v>153</v>
      </c>
      <c r="D180" s="2">
        <v>1010</v>
      </c>
      <c r="E180" s="9">
        <v>63</v>
      </c>
      <c r="F180" s="5">
        <v>5255.1405451885848</v>
      </c>
      <c r="G180" s="12">
        <v>5.3090722726550299E-2</v>
      </c>
      <c r="H180" s="12">
        <v>2.7501848358974077</v>
      </c>
      <c r="I180" s="31">
        <v>17498.77758627864</v>
      </c>
    </row>
    <row r="181" spans="1:9">
      <c r="A181" s="17">
        <v>179</v>
      </c>
      <c r="B181" s="2">
        <v>295</v>
      </c>
      <c r="C181" s="2">
        <v>51</v>
      </c>
      <c r="D181" s="2">
        <v>1006</v>
      </c>
      <c r="E181" s="9">
        <v>59</v>
      </c>
      <c r="F181" s="5">
        <v>4801.9429749269484</v>
      </c>
      <c r="G181" s="12">
        <v>0.10615541291815461</v>
      </c>
      <c r="H181" s="12">
        <v>3.3597373436088493</v>
      </c>
      <c r="I181" s="31">
        <v>13693.056695391908</v>
      </c>
    </row>
    <row r="182" spans="1:9">
      <c r="A182" s="17">
        <v>180</v>
      </c>
      <c r="B182" s="2">
        <v>25</v>
      </c>
      <c r="C182" s="2">
        <v>113</v>
      </c>
      <c r="D182" s="2">
        <v>1021</v>
      </c>
      <c r="E182" s="9">
        <v>55</v>
      </c>
      <c r="F182" s="5">
        <v>6398.1318302598602</v>
      </c>
      <c r="G182" s="12">
        <v>5.2307559176255014E-2</v>
      </c>
      <c r="H182" s="12">
        <v>3.8475735436315337</v>
      </c>
      <c r="I182" s="31">
        <v>15340.13625567187</v>
      </c>
    </row>
    <row r="183" spans="1:9">
      <c r="A183" s="17">
        <v>181</v>
      </c>
      <c r="B183" s="2">
        <v>269</v>
      </c>
      <c r="C183" s="2">
        <v>204</v>
      </c>
      <c r="D183" s="2">
        <v>1017</v>
      </c>
      <c r="E183" s="9">
        <v>73</v>
      </c>
      <c r="F183" s="5">
        <v>3064.2077623696941</v>
      </c>
      <c r="G183" s="12">
        <v>7.5410617741793973E-2</v>
      </c>
      <c r="H183" s="12">
        <v>2.3966129513518628</v>
      </c>
      <c r="I183" s="31">
        <v>15654.741849702452</v>
      </c>
    </row>
    <row r="184" spans="1:9">
      <c r="A184" s="17">
        <v>182</v>
      </c>
      <c r="B184" s="2">
        <v>267</v>
      </c>
      <c r="C184" s="2">
        <v>195</v>
      </c>
      <c r="D184" s="2">
        <v>1014</v>
      </c>
      <c r="E184" s="9">
        <v>49</v>
      </c>
      <c r="F184" s="5">
        <v>5184.9569249038332</v>
      </c>
      <c r="G184" s="12">
        <v>9.1278935028525299E-2</v>
      </c>
      <c r="H184" s="12">
        <v>2.7150099570371187</v>
      </c>
      <c r="I184" s="31">
        <v>16407.760792007513</v>
      </c>
    </row>
    <row r="185" spans="1:9">
      <c r="A185" s="17">
        <v>183</v>
      </c>
      <c r="B185" s="2">
        <v>123</v>
      </c>
      <c r="C185" s="2">
        <v>352</v>
      </c>
      <c r="D185" s="2">
        <v>1019</v>
      </c>
      <c r="E185" s="9">
        <v>54</v>
      </c>
      <c r="F185" s="5">
        <v>7096.8181371058172</v>
      </c>
      <c r="G185" s="12">
        <v>4.1725293390185103E-2</v>
      </c>
      <c r="H185" s="12">
        <v>5.5179162976707445</v>
      </c>
      <c r="I185" s="31">
        <v>15034.72618240213</v>
      </c>
    </row>
    <row r="186" spans="1:9">
      <c r="A186" s="17">
        <v>184</v>
      </c>
      <c r="B186" s="2">
        <v>181</v>
      </c>
      <c r="C186" s="2">
        <v>212</v>
      </c>
      <c r="D186" s="2">
        <v>1011</v>
      </c>
      <c r="E186" s="9">
        <v>38</v>
      </c>
      <c r="F186" s="5">
        <v>2825.9528959910831</v>
      </c>
      <c r="G186" s="12">
        <v>2.2206358639663082E-2</v>
      </c>
      <c r="H186" s="12">
        <v>2.7444942985618401</v>
      </c>
      <c r="I186" s="31">
        <v>15933.704048783886</v>
      </c>
    </row>
    <row r="187" spans="1:9">
      <c r="A187" s="17">
        <v>185</v>
      </c>
      <c r="B187" s="2">
        <v>165</v>
      </c>
      <c r="C187" s="2">
        <v>5</v>
      </c>
      <c r="D187" s="2">
        <v>1021</v>
      </c>
      <c r="E187" s="9">
        <v>25</v>
      </c>
      <c r="F187" s="5">
        <v>6036.5556033361436</v>
      </c>
      <c r="G187" s="12">
        <v>7.4967810692099734E-2</v>
      </c>
      <c r="H187" s="12">
        <v>3.6298665567152786</v>
      </c>
      <c r="I187" s="31">
        <v>16986.564551897947</v>
      </c>
    </row>
    <row r="188" spans="1:9">
      <c r="A188" s="17">
        <v>186</v>
      </c>
      <c r="B188" s="2">
        <v>177</v>
      </c>
      <c r="C188" s="2">
        <v>38</v>
      </c>
      <c r="D188" s="2">
        <v>1017</v>
      </c>
      <c r="E188" s="9">
        <v>64</v>
      </c>
      <c r="F188" s="5">
        <v>4728.0691174382418</v>
      </c>
      <c r="G188" s="12">
        <v>4.3457806218496986E-2</v>
      </c>
      <c r="H188" s="12">
        <v>2.1438739495430856</v>
      </c>
      <c r="I188" s="31">
        <v>15680.217947810354</v>
      </c>
    </row>
    <row r="189" spans="1:9">
      <c r="A189" s="17">
        <v>187</v>
      </c>
      <c r="B189" s="2">
        <v>193</v>
      </c>
      <c r="C189" s="2">
        <v>205</v>
      </c>
      <c r="D189" s="2">
        <v>1004</v>
      </c>
      <c r="E189" s="9">
        <v>65</v>
      </c>
      <c r="F189" s="5">
        <v>1192.2124214374498</v>
      </c>
      <c r="G189" s="12">
        <v>8.155210954998765E-2</v>
      </c>
      <c r="H189" s="12">
        <v>1.3220192643154225</v>
      </c>
      <c r="I189" s="31">
        <v>16913.807297877986</v>
      </c>
    </row>
    <row r="190" spans="1:9">
      <c r="A190" s="17">
        <v>188</v>
      </c>
      <c r="B190" s="2">
        <v>327</v>
      </c>
      <c r="C190" s="2">
        <v>259</v>
      </c>
      <c r="D190" s="2">
        <v>1006</v>
      </c>
      <c r="E190" s="9">
        <v>33</v>
      </c>
      <c r="F190" s="5">
        <v>2720.4607007792738</v>
      </c>
      <c r="G190" s="12">
        <v>7.317843466341728E-2</v>
      </c>
      <c r="H190" s="12">
        <v>2.3518876794604968</v>
      </c>
      <c r="I190" s="31">
        <v>14878.971673514945</v>
      </c>
    </row>
    <row r="191" spans="1:9">
      <c r="A191" s="17">
        <v>189</v>
      </c>
      <c r="B191" s="2">
        <v>262</v>
      </c>
      <c r="C191" s="2">
        <v>236</v>
      </c>
      <c r="D191" s="2">
        <v>1003</v>
      </c>
      <c r="E191" s="9">
        <v>48</v>
      </c>
      <c r="F191" s="5">
        <v>4262.313850085281</v>
      </c>
      <c r="G191" s="12">
        <v>5.6473695994894657E-2</v>
      </c>
      <c r="H191" s="12">
        <v>3.2386013417714641</v>
      </c>
      <c r="I191" s="31">
        <v>16526.036897793721</v>
      </c>
    </row>
    <row r="192" spans="1:9">
      <c r="A192" s="17">
        <v>190</v>
      </c>
      <c r="B192" s="2">
        <v>183</v>
      </c>
      <c r="C192" s="2">
        <v>8</v>
      </c>
      <c r="D192" s="2">
        <v>1008</v>
      </c>
      <c r="E192" s="9">
        <v>89</v>
      </c>
      <c r="F192" s="5">
        <v>1564.964077260317</v>
      </c>
      <c r="G192" s="12">
        <v>6.8492447207857909E-2</v>
      </c>
      <c r="H192" s="12">
        <v>3.4264535522731241</v>
      </c>
      <c r="I192" s="31">
        <v>17195.444185180724</v>
      </c>
    </row>
    <row r="193" spans="1:9">
      <c r="A193" s="17">
        <v>191</v>
      </c>
      <c r="B193" s="2">
        <v>326</v>
      </c>
      <c r="C193" s="2">
        <v>104</v>
      </c>
      <c r="D193" s="2">
        <v>1003</v>
      </c>
      <c r="E193" s="9">
        <v>90</v>
      </c>
      <c r="F193" s="5">
        <v>2821.558958616567</v>
      </c>
      <c r="G193" s="12">
        <v>3.5423011809028682E-2</v>
      </c>
      <c r="H193" s="12">
        <v>1.8007273417958278</v>
      </c>
      <c r="I193" s="31">
        <v>18463.094850066602</v>
      </c>
    </row>
    <row r="194" spans="1:9">
      <c r="A194" s="17">
        <v>192</v>
      </c>
      <c r="B194" s="2">
        <v>243</v>
      </c>
      <c r="C194" s="2">
        <v>271</v>
      </c>
      <c r="D194" s="2">
        <v>1015</v>
      </c>
      <c r="E194" s="9">
        <v>18</v>
      </c>
      <c r="F194" s="5">
        <v>6737.8179554493336</v>
      </c>
      <c r="G194" s="12">
        <v>7.3945579729182642E-2</v>
      </c>
      <c r="H194" s="12">
        <v>2.3495487560944004</v>
      </c>
      <c r="I194" s="31">
        <v>15350.218560506084</v>
      </c>
    </row>
    <row r="195" spans="1:9">
      <c r="A195" s="17">
        <v>193</v>
      </c>
      <c r="B195" s="2">
        <v>33</v>
      </c>
      <c r="C195" s="2">
        <v>151</v>
      </c>
      <c r="D195" s="2">
        <v>1018</v>
      </c>
      <c r="E195" s="9">
        <v>36</v>
      </c>
      <c r="F195" s="5">
        <v>5874.2061098195854</v>
      </c>
      <c r="G195" s="12">
        <v>9.5373424214698022E-2</v>
      </c>
      <c r="H195" s="12">
        <v>3.6988534174690177</v>
      </c>
      <c r="I195" s="31">
        <v>16255.205259385013</v>
      </c>
    </row>
    <row r="196" spans="1:9">
      <c r="A196" s="17">
        <v>194</v>
      </c>
      <c r="B196" s="2">
        <v>137</v>
      </c>
      <c r="C196" s="2">
        <v>39</v>
      </c>
      <c r="D196" s="2">
        <v>1022</v>
      </c>
      <c r="E196" s="9">
        <v>34</v>
      </c>
      <c r="F196" s="5">
        <v>4589.4297121089558</v>
      </c>
      <c r="G196" s="12">
        <v>8.4958408829037213E-2</v>
      </c>
      <c r="H196" s="12">
        <v>1.9763084224643355</v>
      </c>
      <c r="I196" s="31">
        <v>15929.156464407617</v>
      </c>
    </row>
    <row r="197" spans="1:9">
      <c r="A197" s="17">
        <v>195</v>
      </c>
      <c r="B197" s="2">
        <v>279</v>
      </c>
      <c r="C197" s="2">
        <v>91</v>
      </c>
      <c r="D197" s="2">
        <v>1006</v>
      </c>
      <c r="E197" s="9">
        <v>87</v>
      </c>
      <c r="F197" s="5">
        <v>2911.4943536291839</v>
      </c>
      <c r="G197" s="12">
        <v>4.5172026034264123E-2</v>
      </c>
      <c r="H197" s="12">
        <v>2.9966087446177245</v>
      </c>
      <c r="I197" s="31">
        <v>16806.246328978352</v>
      </c>
    </row>
    <row r="198" spans="1:9">
      <c r="A198" s="17">
        <v>196</v>
      </c>
      <c r="B198" s="2">
        <v>162</v>
      </c>
      <c r="C198" s="2">
        <v>32</v>
      </c>
      <c r="D198" s="2">
        <v>1010</v>
      </c>
      <c r="E198" s="9">
        <v>17</v>
      </c>
      <c r="F198" s="5">
        <v>7471.3374207380703</v>
      </c>
      <c r="G198" s="12">
        <v>5.1453256132730163E-2</v>
      </c>
      <c r="H198" s="12">
        <v>4.4313308873221828</v>
      </c>
      <c r="I198" s="31">
        <v>16835.882939430496</v>
      </c>
    </row>
    <row r="199" spans="1:9">
      <c r="A199" s="17">
        <v>197</v>
      </c>
      <c r="B199" s="2">
        <v>110</v>
      </c>
      <c r="C199" s="2">
        <v>334</v>
      </c>
      <c r="D199" s="2">
        <v>1010</v>
      </c>
      <c r="E199" s="9">
        <v>83</v>
      </c>
      <c r="F199" s="5">
        <v>4281.7619446800172</v>
      </c>
      <c r="G199" s="12">
        <v>7.8570130731235255E-2</v>
      </c>
      <c r="H199" s="12">
        <v>1.8756639178797561</v>
      </c>
      <c r="I199" s="31">
        <v>14556.784382857051</v>
      </c>
    </row>
    <row r="200" spans="1:9">
      <c r="A200" s="17">
        <v>198</v>
      </c>
      <c r="B200" s="2">
        <v>118</v>
      </c>
      <c r="C200" s="2">
        <v>330</v>
      </c>
      <c r="D200" s="2">
        <v>1023</v>
      </c>
      <c r="E200" s="9">
        <v>87</v>
      </c>
      <c r="F200" s="5">
        <v>4748.4701393472797</v>
      </c>
      <c r="G200" s="12">
        <v>5.6535471207892984E-2</v>
      </c>
      <c r="H200" s="12">
        <v>-0.49428495059721111</v>
      </c>
      <c r="I200" s="31">
        <v>15568.28245054877</v>
      </c>
    </row>
    <row r="201" spans="1:9">
      <c r="A201" s="17">
        <v>199</v>
      </c>
      <c r="B201" s="2">
        <v>295</v>
      </c>
      <c r="C201" s="2">
        <v>24</v>
      </c>
      <c r="D201" s="2">
        <v>1002</v>
      </c>
      <c r="E201" s="9">
        <v>43</v>
      </c>
      <c r="F201" s="5">
        <v>6149.4869146367428</v>
      </c>
      <c r="G201" s="12">
        <v>3.9451733259623867E-2</v>
      </c>
      <c r="H201" s="12">
        <v>3.0644425793661232</v>
      </c>
      <c r="I201" s="31">
        <v>14979.413793825563</v>
      </c>
    </row>
    <row r="202" spans="1:9">
      <c r="A202" s="17">
        <v>200</v>
      </c>
      <c r="B202" s="2">
        <v>322</v>
      </c>
      <c r="C202" s="2">
        <v>37</v>
      </c>
      <c r="D202" s="2">
        <v>1001</v>
      </c>
      <c r="E202" s="9">
        <v>88</v>
      </c>
      <c r="F202" s="5">
        <v>5490.3502328529221</v>
      </c>
      <c r="G202" s="12">
        <v>6.0723119254247282E-2</v>
      </c>
      <c r="H202" s="12">
        <v>3.5328947939569209</v>
      </c>
      <c r="I202" s="31">
        <v>16998.959048923472</v>
      </c>
    </row>
    <row r="203" spans="1:9">
      <c r="A203" s="17">
        <v>201</v>
      </c>
      <c r="B203" s="2">
        <v>310</v>
      </c>
      <c r="C203" s="2">
        <v>302</v>
      </c>
      <c r="D203" s="2">
        <v>1006</v>
      </c>
      <c r="E203" s="9">
        <v>40</v>
      </c>
      <c r="F203" s="5">
        <v>6481.750678503392</v>
      </c>
      <c r="G203" s="12">
        <v>0.11027588979675201</v>
      </c>
      <c r="H203" s="12">
        <v>3.2616568047466719</v>
      </c>
      <c r="I203" s="31">
        <v>15980.526452657989</v>
      </c>
    </row>
    <row r="204" spans="1:9">
      <c r="A204" s="17">
        <v>202</v>
      </c>
      <c r="B204" s="2">
        <v>224</v>
      </c>
      <c r="C204" s="2">
        <v>160</v>
      </c>
      <c r="D204" s="2">
        <v>1020</v>
      </c>
      <c r="E204" s="9">
        <v>43</v>
      </c>
      <c r="F204" s="5">
        <v>3126.0391318205229</v>
      </c>
      <c r="G204" s="12">
        <v>8.8760016237641681E-2</v>
      </c>
      <c r="H204" s="12">
        <v>4.2378703178734938</v>
      </c>
      <c r="I204" s="31">
        <v>16523.886497615797</v>
      </c>
    </row>
    <row r="205" spans="1:9">
      <c r="A205" s="17">
        <v>203</v>
      </c>
      <c r="B205" s="2">
        <v>105</v>
      </c>
      <c r="C205" s="2">
        <v>77</v>
      </c>
      <c r="D205" s="2">
        <v>1010</v>
      </c>
      <c r="E205" s="9">
        <v>70</v>
      </c>
      <c r="F205" s="5">
        <v>3180.9319338157884</v>
      </c>
      <c r="G205" s="12">
        <v>7.4739583583208147E-2</v>
      </c>
      <c r="H205" s="12">
        <v>1.7627432263304219</v>
      </c>
      <c r="I205" s="31">
        <v>14400.182001899713</v>
      </c>
    </row>
    <row r="206" spans="1:9">
      <c r="A206" s="17">
        <v>204</v>
      </c>
      <c r="B206" s="2">
        <v>309</v>
      </c>
      <c r="C206" s="2">
        <v>261</v>
      </c>
      <c r="D206" s="2">
        <v>1002</v>
      </c>
      <c r="E206" s="9">
        <v>74</v>
      </c>
      <c r="F206" s="5">
        <v>4808.4207863184538</v>
      </c>
      <c r="G206" s="12">
        <v>3.9083066144370238E-2</v>
      </c>
      <c r="H206" s="12">
        <v>3.0600732176616749</v>
      </c>
      <c r="I206" s="31">
        <v>16025.07352834383</v>
      </c>
    </row>
    <row r="207" spans="1:9">
      <c r="A207" s="17">
        <v>205</v>
      </c>
      <c r="B207" s="2">
        <v>122</v>
      </c>
      <c r="C207" s="2">
        <v>55</v>
      </c>
      <c r="D207" s="2">
        <v>1012</v>
      </c>
      <c r="E207" s="9">
        <v>72</v>
      </c>
      <c r="F207" s="5">
        <v>4122.5246489415958</v>
      </c>
      <c r="G207" s="12">
        <v>9.4188249936336066E-2</v>
      </c>
      <c r="H207" s="12">
        <v>1.76892556971432</v>
      </c>
      <c r="I207" s="31">
        <v>15924.815728048463</v>
      </c>
    </row>
    <row r="208" spans="1:9">
      <c r="A208" s="17">
        <v>206</v>
      </c>
      <c r="B208" s="2">
        <v>215</v>
      </c>
      <c r="C208" s="2">
        <v>358</v>
      </c>
      <c r="D208" s="2">
        <v>1008</v>
      </c>
      <c r="E208" s="9">
        <v>86</v>
      </c>
      <c r="F208" s="5">
        <v>6605.551644224267</v>
      </c>
      <c r="G208" s="12">
        <v>0.10238405189272598</v>
      </c>
      <c r="H208" s="12">
        <v>2.1513939042358108</v>
      </c>
      <c r="I208" s="31">
        <v>16939.796420028335</v>
      </c>
    </row>
    <row r="209" spans="1:9">
      <c r="A209" s="17">
        <v>207</v>
      </c>
      <c r="B209" s="2">
        <v>344</v>
      </c>
      <c r="C209" s="2">
        <v>175</v>
      </c>
      <c r="D209" s="2">
        <v>1018</v>
      </c>
      <c r="E209" s="9">
        <v>20</v>
      </c>
      <c r="F209" s="5">
        <v>3700.7590196316933</v>
      </c>
      <c r="G209" s="12">
        <v>9.8647825065994399E-2</v>
      </c>
      <c r="H209" s="12">
        <v>4.1499192136108647</v>
      </c>
      <c r="I209" s="31">
        <v>16553.891748098442</v>
      </c>
    </row>
    <row r="210" spans="1:9">
      <c r="A210" s="17">
        <v>208</v>
      </c>
      <c r="B210" s="2">
        <v>156</v>
      </c>
      <c r="C210" s="2">
        <v>42</v>
      </c>
      <c r="D210" s="2">
        <v>1023</v>
      </c>
      <c r="E210" s="9">
        <v>43</v>
      </c>
      <c r="F210" s="5">
        <v>7067.6983538573559</v>
      </c>
      <c r="G210" s="12">
        <v>6.2678390645372561E-2</v>
      </c>
      <c r="H210" s="12">
        <v>5.6529619399804503</v>
      </c>
      <c r="I210" s="31">
        <v>15873.386347793177</v>
      </c>
    </row>
    <row r="211" spans="1:9">
      <c r="A211" s="17">
        <v>209</v>
      </c>
      <c r="B211" s="2">
        <v>200</v>
      </c>
      <c r="C211" s="2">
        <v>291</v>
      </c>
      <c r="D211" s="2">
        <v>1001</v>
      </c>
      <c r="E211" s="9">
        <v>45</v>
      </c>
      <c r="F211" s="5">
        <v>6179.0297557258391</v>
      </c>
      <c r="G211" s="12">
        <v>8.4602106435225866E-2</v>
      </c>
      <c r="H211" s="12">
        <v>0.49705444315230141</v>
      </c>
      <c r="I211" s="31">
        <v>16032.635768969532</v>
      </c>
    </row>
    <row r="212" spans="1:9">
      <c r="A212" s="17">
        <v>210</v>
      </c>
      <c r="B212" s="2">
        <v>104</v>
      </c>
      <c r="C212" s="2">
        <v>208</v>
      </c>
      <c r="D212" s="2">
        <v>1009</v>
      </c>
      <c r="E212" s="9">
        <v>14</v>
      </c>
      <c r="F212" s="5">
        <v>1876.2927610527704</v>
      </c>
      <c r="G212" s="12">
        <v>6.8962669579262725E-2</v>
      </c>
      <c r="H212" s="12">
        <v>1.0603278752875489</v>
      </c>
      <c r="I212" s="31">
        <v>14041.159380194051</v>
      </c>
    </row>
    <row r="213" spans="1:9">
      <c r="A213" s="17">
        <v>211</v>
      </c>
      <c r="B213" s="2">
        <v>116</v>
      </c>
      <c r="C213" s="2">
        <v>138</v>
      </c>
      <c r="D213" s="2">
        <v>1009</v>
      </c>
      <c r="E213" s="9">
        <v>79</v>
      </c>
      <c r="F213" s="5">
        <v>5074.2539974766778</v>
      </c>
      <c r="G213" s="12">
        <v>9.9972277889604444E-2</v>
      </c>
      <c r="H213" s="12">
        <v>1.9508685219386099</v>
      </c>
      <c r="I213" s="31">
        <v>17408.817130835279</v>
      </c>
    </row>
    <row r="214" spans="1:9">
      <c r="A214" s="17">
        <v>212</v>
      </c>
      <c r="B214" s="2">
        <v>259</v>
      </c>
      <c r="C214" s="2">
        <v>53</v>
      </c>
      <c r="D214" s="2">
        <v>1005</v>
      </c>
      <c r="E214" s="9">
        <v>83</v>
      </c>
      <c r="F214" s="5">
        <v>4991.1880565100155</v>
      </c>
      <c r="G214" s="12">
        <v>5.7847849675339236E-2</v>
      </c>
      <c r="H214" s="12">
        <v>4.8389255802100521</v>
      </c>
      <c r="I214" s="31">
        <v>15833.987944533339</v>
      </c>
    </row>
    <row r="215" spans="1:9">
      <c r="A215" s="17">
        <v>213</v>
      </c>
      <c r="B215" s="2">
        <v>148</v>
      </c>
      <c r="C215" s="2">
        <v>147</v>
      </c>
      <c r="D215" s="2">
        <v>1023</v>
      </c>
      <c r="E215" s="9">
        <v>17</v>
      </c>
      <c r="F215" s="5">
        <v>2562.978466775764</v>
      </c>
      <c r="G215" s="12">
        <v>9.2401874348864654E-2</v>
      </c>
      <c r="H215" s="12">
        <v>3.964370526554085</v>
      </c>
      <c r="I215" s="31">
        <v>15939.768177285634</v>
      </c>
    </row>
    <row r="216" spans="1:9">
      <c r="A216" s="17">
        <v>214</v>
      </c>
      <c r="B216" s="2">
        <v>67</v>
      </c>
      <c r="C216" s="2">
        <v>52</v>
      </c>
      <c r="D216" s="2">
        <v>1009</v>
      </c>
      <c r="E216" s="9">
        <v>69</v>
      </c>
      <c r="F216" s="5">
        <v>7153.3989817721313</v>
      </c>
      <c r="G216" s="12">
        <v>6.4915655116122795E-2</v>
      </c>
      <c r="H216" s="12">
        <v>4.6223690907333363</v>
      </c>
      <c r="I216" s="31">
        <v>16288.985998180044</v>
      </c>
    </row>
    <row r="217" spans="1:9">
      <c r="A217" s="17">
        <v>215</v>
      </c>
      <c r="B217" s="2">
        <v>238</v>
      </c>
      <c r="C217" s="2">
        <v>133</v>
      </c>
      <c r="D217" s="2">
        <v>1004</v>
      </c>
      <c r="E217" s="9">
        <v>52</v>
      </c>
      <c r="F217" s="5">
        <v>6235.1372782536209</v>
      </c>
      <c r="G217" s="12">
        <v>9.8936302970172252E-2</v>
      </c>
      <c r="H217" s="12">
        <v>2.3305503769471945</v>
      </c>
      <c r="I217" s="31">
        <v>16610.303912766005</v>
      </c>
    </row>
    <row r="218" spans="1:9">
      <c r="A218" s="17">
        <v>216</v>
      </c>
      <c r="B218" s="2">
        <v>230</v>
      </c>
      <c r="C218" s="2">
        <v>135</v>
      </c>
      <c r="D218" s="2">
        <v>1018</v>
      </c>
      <c r="E218" s="9">
        <v>82</v>
      </c>
      <c r="F218" s="5">
        <v>3503.0737246933832</v>
      </c>
      <c r="G218" s="12">
        <v>7.2413975476477932E-2</v>
      </c>
      <c r="H218" s="12">
        <v>1.6858798831059905</v>
      </c>
      <c r="I218" s="31">
        <v>16970.436550563511</v>
      </c>
    </row>
    <row r="219" spans="1:9">
      <c r="A219" s="17">
        <v>217</v>
      </c>
      <c r="B219" s="2">
        <v>84</v>
      </c>
      <c r="C219" s="2">
        <v>322</v>
      </c>
      <c r="D219" s="2">
        <v>1007</v>
      </c>
      <c r="E219" s="9">
        <v>21</v>
      </c>
      <c r="F219" s="5">
        <v>2333.7188153750112</v>
      </c>
      <c r="G219" s="12">
        <v>8.5016844841332928E-2</v>
      </c>
      <c r="H219" s="12">
        <v>2.5962975855201695</v>
      </c>
      <c r="I219" s="31">
        <v>15113.365292908758</v>
      </c>
    </row>
    <row r="220" spans="1:9">
      <c r="A220" s="17">
        <v>218</v>
      </c>
      <c r="B220" s="2">
        <v>77</v>
      </c>
      <c r="C220" s="2">
        <v>227</v>
      </c>
      <c r="D220" s="2">
        <v>1021</v>
      </c>
      <c r="E220" s="9">
        <v>91</v>
      </c>
      <c r="F220" s="5">
        <v>4835.7247718053777</v>
      </c>
      <c r="G220" s="12">
        <v>7.2332407030329338E-2</v>
      </c>
      <c r="H220" s="12">
        <v>2.4857411029949437</v>
      </c>
      <c r="I220" s="31">
        <v>17821.005836939923</v>
      </c>
    </row>
    <row r="221" spans="1:9">
      <c r="A221" s="17">
        <v>219</v>
      </c>
      <c r="B221" s="2">
        <v>337</v>
      </c>
      <c r="C221" s="2">
        <v>296</v>
      </c>
      <c r="D221" s="2">
        <v>1022</v>
      </c>
      <c r="E221" s="9">
        <v>52</v>
      </c>
      <c r="F221" s="5">
        <v>752.34117315581625</v>
      </c>
      <c r="G221" s="12">
        <v>6.3232020443023063E-2</v>
      </c>
      <c r="H221" s="12">
        <v>3.9816709737657949</v>
      </c>
      <c r="I221" s="31">
        <v>15462.917961830874</v>
      </c>
    </row>
    <row r="222" spans="1:9">
      <c r="A222" s="17">
        <v>220</v>
      </c>
      <c r="B222" s="2">
        <v>162</v>
      </c>
      <c r="C222" s="2">
        <v>322</v>
      </c>
      <c r="D222" s="2">
        <v>1009</v>
      </c>
      <c r="E222" s="9">
        <v>43</v>
      </c>
      <c r="F222" s="5">
        <v>3060.0253539154955</v>
      </c>
      <c r="G222" s="12">
        <v>6.5832410891629112E-2</v>
      </c>
      <c r="H222" s="12">
        <v>2.0921192647244244</v>
      </c>
      <c r="I222" s="31">
        <v>14593.378049884825</v>
      </c>
    </row>
    <row r="223" spans="1:9">
      <c r="A223" s="17">
        <v>221</v>
      </c>
      <c r="B223" s="2">
        <v>130</v>
      </c>
      <c r="C223" s="2">
        <v>50</v>
      </c>
      <c r="D223" s="2">
        <v>1014</v>
      </c>
      <c r="E223" s="9">
        <v>22</v>
      </c>
      <c r="F223" s="5">
        <v>6836.6082442748457</v>
      </c>
      <c r="G223" s="12">
        <v>0.10589882680039736</v>
      </c>
      <c r="H223" s="12">
        <v>1.5655808365487975</v>
      </c>
      <c r="I223" s="31">
        <v>15771.254627342762</v>
      </c>
    </row>
    <row r="224" spans="1:9">
      <c r="A224" s="17">
        <v>222</v>
      </c>
      <c r="B224" s="2">
        <v>185</v>
      </c>
      <c r="C224" s="2">
        <v>57</v>
      </c>
      <c r="D224" s="2">
        <v>1011</v>
      </c>
      <c r="E224" s="9">
        <v>78</v>
      </c>
      <c r="F224" s="5">
        <v>3415.6724880330848</v>
      </c>
      <c r="G224" s="12">
        <v>8.8361102739212216E-2</v>
      </c>
      <c r="H224" s="12">
        <v>4.1717356793434917</v>
      </c>
      <c r="I224" s="31">
        <v>15470.521162459965</v>
      </c>
    </row>
    <row r="225" spans="1:9">
      <c r="A225" s="17">
        <v>223</v>
      </c>
      <c r="B225" s="2">
        <v>329</v>
      </c>
      <c r="C225" s="2">
        <v>76</v>
      </c>
      <c r="D225" s="2">
        <v>1016</v>
      </c>
      <c r="E225" s="9">
        <v>75</v>
      </c>
      <c r="F225" s="5">
        <v>2295.2791935581054</v>
      </c>
      <c r="G225" s="12">
        <v>8.1974833001253133E-2</v>
      </c>
      <c r="H225" s="12">
        <v>4.5628163089838196</v>
      </c>
      <c r="I225" s="31">
        <v>15859.369834633446</v>
      </c>
    </row>
    <row r="226" spans="1:9">
      <c r="A226" s="17">
        <v>224</v>
      </c>
      <c r="B226" s="2">
        <v>83</v>
      </c>
      <c r="C226" s="2">
        <v>234</v>
      </c>
      <c r="D226" s="2">
        <v>1013</v>
      </c>
      <c r="E226" s="9">
        <v>32</v>
      </c>
      <c r="F226" s="5">
        <v>4190.4233380177693</v>
      </c>
      <c r="G226" s="12">
        <v>7.4044182938335867E-2</v>
      </c>
      <c r="H226" s="12">
        <v>3.0339822114421442</v>
      </c>
      <c r="I226" s="31">
        <v>14678.255368907605</v>
      </c>
    </row>
    <row r="227" spans="1:9">
      <c r="A227" s="17">
        <v>225</v>
      </c>
      <c r="B227" s="2">
        <v>285</v>
      </c>
      <c r="C227" s="2">
        <v>322</v>
      </c>
      <c r="D227" s="2">
        <v>1018</v>
      </c>
      <c r="E227" s="9">
        <v>70</v>
      </c>
      <c r="F227" s="5">
        <v>6267.7085432910253</v>
      </c>
      <c r="G227" s="12">
        <v>5.0503761672074321E-2</v>
      </c>
      <c r="H227" s="12">
        <v>2.7872409677137786</v>
      </c>
      <c r="I227" s="31">
        <v>14230.558435864998</v>
      </c>
    </row>
    <row r="228" spans="1:9">
      <c r="A228" s="17">
        <v>226</v>
      </c>
      <c r="B228" s="2">
        <v>116</v>
      </c>
      <c r="C228" s="2">
        <v>32</v>
      </c>
      <c r="D228" s="2">
        <v>1009</v>
      </c>
      <c r="E228" s="9">
        <v>96</v>
      </c>
      <c r="F228" s="5">
        <v>4749.6366899276445</v>
      </c>
      <c r="G228" s="12">
        <v>7.3358461136079856E-2</v>
      </c>
      <c r="H228" s="12">
        <v>3.4247619417521311</v>
      </c>
      <c r="I228" s="31">
        <v>14492.5140415393</v>
      </c>
    </row>
    <row r="229" spans="1:9">
      <c r="A229" s="17">
        <v>227</v>
      </c>
      <c r="B229" s="2">
        <v>157</v>
      </c>
      <c r="C229" s="2">
        <v>256</v>
      </c>
      <c r="D229" s="2">
        <v>1019</v>
      </c>
      <c r="E229" s="9">
        <v>88</v>
      </c>
      <c r="F229" s="5">
        <v>-126.4463017474036</v>
      </c>
      <c r="G229" s="12">
        <v>0.10349547339035198</v>
      </c>
      <c r="H229" s="12">
        <v>1.6618913793501453</v>
      </c>
      <c r="I229" s="31">
        <v>15277.653818502051</v>
      </c>
    </row>
    <row r="230" spans="1:9">
      <c r="A230" s="17">
        <v>228</v>
      </c>
      <c r="B230" s="2">
        <v>112</v>
      </c>
      <c r="C230" s="2">
        <v>341</v>
      </c>
      <c r="D230" s="2">
        <v>1009</v>
      </c>
      <c r="E230" s="9">
        <v>38</v>
      </c>
      <c r="F230" s="5">
        <v>4894.7560009941817</v>
      </c>
      <c r="G230" s="12">
        <v>5.5871938152334766E-2</v>
      </c>
      <c r="H230" s="12">
        <v>4.3358092570508049</v>
      </c>
      <c r="I230" s="31">
        <v>16855.181245027245</v>
      </c>
    </row>
    <row r="231" spans="1:9">
      <c r="A231" s="17">
        <v>229</v>
      </c>
      <c r="B231" s="2">
        <v>126</v>
      </c>
      <c r="C231" s="2">
        <v>102</v>
      </c>
      <c r="D231" s="2">
        <v>1013</v>
      </c>
      <c r="E231" s="9">
        <v>77</v>
      </c>
      <c r="F231" s="5">
        <v>4446.8131442085514</v>
      </c>
      <c r="G231" s="12">
        <v>5.6954516698964286E-2</v>
      </c>
      <c r="H231" s="12">
        <v>1.8169910770290518</v>
      </c>
      <c r="I231" s="31">
        <v>15346.075456163282</v>
      </c>
    </row>
    <row r="232" spans="1:9">
      <c r="A232" s="17">
        <v>230</v>
      </c>
      <c r="B232" s="2">
        <v>238</v>
      </c>
      <c r="C232" s="2">
        <v>140</v>
      </c>
      <c r="D232" s="2">
        <v>1020</v>
      </c>
      <c r="E232" s="9">
        <v>77</v>
      </c>
      <c r="F232" s="5">
        <v>1668.847814939415</v>
      </c>
      <c r="G232" s="12">
        <v>9.284168095734785E-2</v>
      </c>
      <c r="H232" s="12">
        <v>2.0957300566885171</v>
      </c>
      <c r="I232" s="31">
        <v>16248.138634800318</v>
      </c>
    </row>
    <row r="233" spans="1:9">
      <c r="A233" s="17">
        <v>231</v>
      </c>
      <c r="B233" s="2">
        <v>117</v>
      </c>
      <c r="C233" s="2">
        <v>334</v>
      </c>
      <c r="D233" s="2">
        <v>1006</v>
      </c>
      <c r="E233" s="9">
        <v>90</v>
      </c>
      <c r="F233" s="5">
        <v>3681.6858129254406</v>
      </c>
      <c r="G233" s="12">
        <v>6.804235682909493E-2</v>
      </c>
      <c r="H233" s="12">
        <v>2.2350009324520035</v>
      </c>
      <c r="I233" s="31">
        <v>14607.38022704337</v>
      </c>
    </row>
    <row r="234" spans="1:9">
      <c r="A234" s="17">
        <v>232</v>
      </c>
      <c r="B234" s="2">
        <v>346</v>
      </c>
      <c r="C234" s="2">
        <v>32</v>
      </c>
      <c r="D234" s="2">
        <v>1007</v>
      </c>
      <c r="E234" s="9">
        <v>95</v>
      </c>
      <c r="F234" s="5">
        <v>2600.362538336828</v>
      </c>
      <c r="G234" s="12">
        <v>4.6489703668042781E-2</v>
      </c>
      <c r="H234" s="12">
        <v>2.9572680535999827</v>
      </c>
      <c r="I234" s="31">
        <v>15525.02049496926</v>
      </c>
    </row>
    <row r="235" spans="1:9">
      <c r="A235" s="17">
        <v>233</v>
      </c>
      <c r="B235" s="2">
        <v>145</v>
      </c>
      <c r="C235" s="2">
        <v>240</v>
      </c>
      <c r="D235" s="2">
        <v>1005</v>
      </c>
      <c r="E235" s="9">
        <v>26</v>
      </c>
      <c r="F235" s="5">
        <v>6060.0080869966923</v>
      </c>
      <c r="G235" s="12">
        <v>6.4222722576117663E-2</v>
      </c>
      <c r="H235" s="12">
        <v>4.4372780740865707</v>
      </c>
      <c r="I235" s="31">
        <v>16172.892036574387</v>
      </c>
    </row>
    <row r="236" spans="1:9">
      <c r="A236" s="17">
        <v>234</v>
      </c>
      <c r="B236" s="2">
        <v>84</v>
      </c>
      <c r="C236" s="2">
        <v>95</v>
      </c>
      <c r="D236" s="2">
        <v>1008</v>
      </c>
      <c r="E236" s="9">
        <v>48</v>
      </c>
      <c r="F236" s="5">
        <v>5036.3714716281329</v>
      </c>
      <c r="G236" s="12">
        <v>4.81316225294664E-2</v>
      </c>
      <c r="H236" s="12">
        <v>1.7399203914089232</v>
      </c>
      <c r="I236" s="31">
        <v>13451.359907393828</v>
      </c>
    </row>
    <row r="237" spans="1:9">
      <c r="A237" s="17">
        <v>235</v>
      </c>
      <c r="B237" s="2">
        <v>254</v>
      </c>
      <c r="C237" s="2">
        <v>245</v>
      </c>
      <c r="D237" s="2">
        <v>1016</v>
      </c>
      <c r="E237" s="9">
        <v>87</v>
      </c>
      <c r="F237" s="5">
        <v>3404.3818701179198</v>
      </c>
      <c r="G237" s="12">
        <v>7.7411815241133441E-2</v>
      </c>
      <c r="H237" s="12">
        <v>1.6319329317377016</v>
      </c>
      <c r="I237" s="31">
        <v>15831.770984349907</v>
      </c>
    </row>
    <row r="238" spans="1:9">
      <c r="A238" s="17">
        <v>236</v>
      </c>
      <c r="B238" s="2">
        <v>126</v>
      </c>
      <c r="C238" s="2">
        <v>356</v>
      </c>
      <c r="D238" s="2">
        <v>1022</v>
      </c>
      <c r="E238" s="9">
        <v>34</v>
      </c>
      <c r="F238" s="5">
        <v>7434.0748212302578</v>
      </c>
      <c r="G238" s="12">
        <v>6.4859590420268065E-2</v>
      </c>
      <c r="H238" s="12">
        <v>3.6137621211275293</v>
      </c>
      <c r="I238" s="31">
        <v>16271.255436713011</v>
      </c>
    </row>
    <row r="239" spans="1:9">
      <c r="A239" s="17">
        <v>237</v>
      </c>
      <c r="B239" s="2">
        <v>112</v>
      </c>
      <c r="C239" s="2">
        <v>164</v>
      </c>
      <c r="D239" s="2">
        <v>1022</v>
      </c>
      <c r="E239" s="9">
        <v>68</v>
      </c>
      <c r="F239" s="5">
        <v>4844.7555906609132</v>
      </c>
      <c r="G239" s="12">
        <v>6.5862633077698407E-2</v>
      </c>
      <c r="H239" s="12">
        <v>1.5048750287939403</v>
      </c>
      <c r="I239" s="31">
        <v>15860.612970736303</v>
      </c>
    </row>
    <row r="240" spans="1:9">
      <c r="A240" s="17">
        <v>238</v>
      </c>
      <c r="B240" s="2">
        <v>61</v>
      </c>
      <c r="C240" s="2">
        <v>268</v>
      </c>
      <c r="D240" s="2">
        <v>1008</v>
      </c>
      <c r="E240" s="9">
        <v>71</v>
      </c>
      <c r="F240" s="5">
        <v>2509.6522353982955</v>
      </c>
      <c r="G240" s="12">
        <v>4.8137429835036161E-2</v>
      </c>
      <c r="H240" s="12">
        <v>2.6185691930970099</v>
      </c>
      <c r="I240" s="31">
        <v>14807.181075574965</v>
      </c>
    </row>
    <row r="241" spans="1:9">
      <c r="A241" s="17">
        <v>239</v>
      </c>
      <c r="B241" s="2">
        <v>241</v>
      </c>
      <c r="C241" s="2">
        <v>159</v>
      </c>
      <c r="D241" s="2">
        <v>1011</v>
      </c>
      <c r="E241" s="9">
        <v>28</v>
      </c>
      <c r="F241" s="5">
        <v>4541.4294019628478</v>
      </c>
      <c r="G241" s="12">
        <v>8.7127558444875464E-2</v>
      </c>
      <c r="H241" s="12">
        <v>4.1517827666063383</v>
      </c>
      <c r="I241" s="31">
        <v>16021.400440039917</v>
      </c>
    </row>
    <row r="242" spans="1:9">
      <c r="A242" s="17">
        <v>240</v>
      </c>
      <c r="B242" s="2">
        <v>73</v>
      </c>
      <c r="C242" s="2">
        <v>109</v>
      </c>
      <c r="D242" s="2">
        <v>1010</v>
      </c>
      <c r="E242" s="9">
        <v>91</v>
      </c>
      <c r="F242" s="5">
        <v>5781.5731974864839</v>
      </c>
      <c r="G242" s="12">
        <v>5.0490743628755441E-2</v>
      </c>
      <c r="H242" s="12">
        <v>2.3503288186440661</v>
      </c>
      <c r="I242" s="31">
        <v>16594.476967456478</v>
      </c>
    </row>
    <row r="243" spans="1:9">
      <c r="A243" s="17">
        <v>241</v>
      </c>
      <c r="B243" s="2">
        <v>169</v>
      </c>
      <c r="C243" s="2">
        <v>36</v>
      </c>
      <c r="D243" s="2">
        <v>1012</v>
      </c>
      <c r="E243" s="9">
        <v>55</v>
      </c>
      <c r="F243" s="5">
        <v>6672.2858770658213</v>
      </c>
      <c r="G243" s="12">
        <v>4.4725202264884134E-2</v>
      </c>
      <c r="H243" s="12">
        <v>2.1423441672333685</v>
      </c>
      <c r="I243" s="31">
        <v>15437.593415735511</v>
      </c>
    </row>
    <row r="244" spans="1:9">
      <c r="A244" s="17">
        <v>242</v>
      </c>
      <c r="B244" s="2">
        <v>355</v>
      </c>
      <c r="C244" s="2">
        <v>295</v>
      </c>
      <c r="D244" s="2">
        <v>1017</v>
      </c>
      <c r="E244" s="9">
        <v>85</v>
      </c>
      <c r="F244" s="5">
        <v>4535.1589308001685</v>
      </c>
      <c r="G244" s="12">
        <v>6.747033723047352E-2</v>
      </c>
      <c r="H244" s="12">
        <v>3.4723761000713513</v>
      </c>
      <c r="I244" s="31">
        <v>15018.42205305312</v>
      </c>
    </row>
    <row r="245" spans="1:9">
      <c r="A245" s="17">
        <v>243</v>
      </c>
      <c r="B245" s="2">
        <v>15</v>
      </c>
      <c r="C245" s="2">
        <v>246</v>
      </c>
      <c r="D245" s="2">
        <v>1004</v>
      </c>
      <c r="E245" s="9">
        <v>42</v>
      </c>
      <c r="F245" s="5">
        <v>6362.6452359444165</v>
      </c>
      <c r="G245" s="12">
        <v>2.0938043103227388E-2</v>
      </c>
      <c r="H245" s="12">
        <v>0.70304152758006255</v>
      </c>
      <c r="I245" s="31">
        <v>16151.984002844449</v>
      </c>
    </row>
    <row r="246" spans="1:9">
      <c r="A246" s="17">
        <v>244</v>
      </c>
      <c r="B246" s="2">
        <v>293</v>
      </c>
      <c r="C246" s="2">
        <v>246</v>
      </c>
      <c r="D246" s="2">
        <v>1005</v>
      </c>
      <c r="E246" s="9">
        <v>74</v>
      </c>
      <c r="F246" s="5">
        <v>6951.9815627149519</v>
      </c>
      <c r="G246" s="12">
        <v>4.7997086617100282E-2</v>
      </c>
      <c r="H246" s="12">
        <v>1.3759990870391268</v>
      </c>
      <c r="I246" s="31">
        <v>16403.388311645733</v>
      </c>
    </row>
    <row r="247" spans="1:9">
      <c r="A247" s="17">
        <v>245</v>
      </c>
      <c r="B247" s="2">
        <v>309</v>
      </c>
      <c r="C247" s="2">
        <v>112</v>
      </c>
      <c r="D247" s="2">
        <v>1007</v>
      </c>
      <c r="E247" s="9">
        <v>37</v>
      </c>
      <c r="F247" s="5">
        <v>5743.4770483718758</v>
      </c>
      <c r="G247" s="12">
        <v>4.7043720619397933E-2</v>
      </c>
      <c r="H247" s="12">
        <v>4.4012004972352585</v>
      </c>
      <c r="I247" s="31">
        <v>14285.457128407335</v>
      </c>
    </row>
    <row r="248" spans="1:9">
      <c r="A248" s="17">
        <v>246</v>
      </c>
      <c r="B248" s="2">
        <v>13</v>
      </c>
      <c r="C248" s="2">
        <v>45</v>
      </c>
      <c r="D248" s="2">
        <v>1016</v>
      </c>
      <c r="E248" s="9">
        <v>23</v>
      </c>
      <c r="F248" s="5">
        <v>4608.2013330278251</v>
      </c>
      <c r="G248" s="12">
        <v>7.8684534650959537E-2</v>
      </c>
      <c r="H248" s="12">
        <v>2.4542326445463734</v>
      </c>
      <c r="I248" s="31">
        <v>16765.097909573717</v>
      </c>
    </row>
    <row r="249" spans="1:9">
      <c r="A249" s="17">
        <v>247</v>
      </c>
      <c r="B249" s="2">
        <v>133</v>
      </c>
      <c r="C249" s="2">
        <v>55</v>
      </c>
      <c r="D249" s="2">
        <v>1014</v>
      </c>
      <c r="E249" s="9">
        <v>28</v>
      </c>
      <c r="F249" s="5">
        <v>3098.3016167642354</v>
      </c>
      <c r="G249" s="12">
        <v>6.0554126662167251E-2</v>
      </c>
      <c r="H249" s="12">
        <v>1.5554109448964302</v>
      </c>
      <c r="I249" s="31">
        <v>15872.005995678966</v>
      </c>
    </row>
    <row r="250" spans="1:9">
      <c r="A250" s="17">
        <v>248</v>
      </c>
      <c r="B250" s="2">
        <v>12</v>
      </c>
      <c r="C250" s="2">
        <v>55</v>
      </c>
      <c r="D250" s="2">
        <v>1006</v>
      </c>
      <c r="E250" s="9">
        <v>15</v>
      </c>
      <c r="F250" s="5">
        <v>1902.4553281082781</v>
      </c>
      <c r="G250" s="12">
        <v>5.7552064244986101E-2</v>
      </c>
      <c r="H250" s="12">
        <v>3.8910851039383307</v>
      </c>
      <c r="I250" s="31">
        <v>16715.650993482461</v>
      </c>
    </row>
    <row r="251" spans="1:9">
      <c r="A251" s="17">
        <v>249</v>
      </c>
      <c r="B251" s="2">
        <v>18</v>
      </c>
      <c r="C251" s="2">
        <v>255</v>
      </c>
      <c r="D251" s="2">
        <v>1003</v>
      </c>
      <c r="E251" s="9">
        <v>55</v>
      </c>
      <c r="F251" s="5">
        <v>3093.8239055598906</v>
      </c>
      <c r="G251" s="12">
        <v>6.0412138040986607E-2</v>
      </c>
      <c r="H251" s="12">
        <v>3.1903398706071404</v>
      </c>
      <c r="I251" s="31">
        <v>15611.543382128195</v>
      </c>
    </row>
    <row r="252" spans="1:9">
      <c r="A252" s="17">
        <v>250</v>
      </c>
      <c r="B252" s="2">
        <v>271</v>
      </c>
      <c r="C252" s="2">
        <v>232</v>
      </c>
      <c r="D252" s="2">
        <v>1012</v>
      </c>
      <c r="E252" s="9">
        <v>16</v>
      </c>
      <c r="F252" s="5">
        <v>1962.3326729783521</v>
      </c>
      <c r="G252" s="12">
        <v>7.5209733363293341E-2</v>
      </c>
      <c r="H252" s="12">
        <v>2.2677939023275759</v>
      </c>
      <c r="I252" s="31">
        <v>15372.831554377091</v>
      </c>
    </row>
    <row r="253" spans="1:9">
      <c r="A253" s="17">
        <v>251</v>
      </c>
      <c r="B253" s="2">
        <v>352</v>
      </c>
      <c r="C253" s="2">
        <v>38</v>
      </c>
      <c r="D253" s="2">
        <v>1021</v>
      </c>
      <c r="E253" s="9">
        <v>52</v>
      </c>
      <c r="F253" s="5">
        <v>1058.3502187541462</v>
      </c>
      <c r="G253" s="12">
        <v>8.3587787926147572E-2</v>
      </c>
      <c r="H253" s="12">
        <v>3.0712153428645981</v>
      </c>
      <c r="I253" s="31">
        <v>16291.305358371948</v>
      </c>
    </row>
    <row r="254" spans="1:9">
      <c r="A254" s="17">
        <v>252</v>
      </c>
      <c r="B254" s="2">
        <v>152</v>
      </c>
      <c r="C254" s="2">
        <v>103</v>
      </c>
      <c r="D254" s="2">
        <v>1014</v>
      </c>
      <c r="E254" s="9">
        <v>74</v>
      </c>
      <c r="F254" s="5">
        <v>7687.8927708452984</v>
      </c>
      <c r="G254" s="12">
        <v>6.7424072362767762E-2</v>
      </c>
      <c r="H254" s="12">
        <v>4.3607485015478957</v>
      </c>
      <c r="I254" s="31">
        <v>15306.479420887092</v>
      </c>
    </row>
    <row r="255" spans="1:9">
      <c r="A255" s="17">
        <v>253</v>
      </c>
      <c r="B255" s="2">
        <v>356</v>
      </c>
      <c r="C255" s="2">
        <v>248</v>
      </c>
      <c r="D255" s="2">
        <v>1014</v>
      </c>
      <c r="E255" s="9">
        <v>66</v>
      </c>
      <c r="F255" s="5">
        <v>2047.1159774565031</v>
      </c>
      <c r="G255" s="12">
        <v>6.4325584476022046E-2</v>
      </c>
      <c r="H255" s="12">
        <v>2.5970093767932032</v>
      </c>
      <c r="I255" s="31">
        <v>15959.690098933981</v>
      </c>
    </row>
    <row r="256" spans="1:9">
      <c r="A256" s="17">
        <v>254</v>
      </c>
      <c r="B256" s="2">
        <v>233</v>
      </c>
      <c r="C256" s="2">
        <v>297</v>
      </c>
      <c r="D256" s="2">
        <v>1022</v>
      </c>
      <c r="E256" s="9">
        <v>44</v>
      </c>
      <c r="F256" s="5">
        <v>43.715101400682215</v>
      </c>
      <c r="G256" s="12">
        <v>5.9917936336999988E-2</v>
      </c>
      <c r="H256" s="12">
        <v>3.4256077470126276</v>
      </c>
      <c r="I256" s="31">
        <v>15271.577401999286</v>
      </c>
    </row>
    <row r="257" spans="1:9">
      <c r="A257" s="17">
        <v>255</v>
      </c>
      <c r="B257" s="2">
        <v>348</v>
      </c>
      <c r="C257" s="2">
        <v>238</v>
      </c>
      <c r="D257" s="2">
        <v>1021</v>
      </c>
      <c r="E257" s="9">
        <v>82</v>
      </c>
      <c r="F257" s="5">
        <v>4057.2690241965183</v>
      </c>
      <c r="G257" s="12">
        <v>9.1007491887352077E-2</v>
      </c>
      <c r="H257" s="12">
        <v>1.5403103499317514</v>
      </c>
      <c r="I257" s="31">
        <v>14836.897558033717</v>
      </c>
    </row>
    <row r="258" spans="1:9">
      <c r="A258" s="17">
        <v>256</v>
      </c>
      <c r="B258" s="2">
        <v>157</v>
      </c>
      <c r="C258" s="2">
        <v>212</v>
      </c>
      <c r="D258" s="2">
        <v>1023</v>
      </c>
      <c r="E258" s="9">
        <v>39</v>
      </c>
      <c r="F258" s="5">
        <v>5846.4853495292637</v>
      </c>
      <c r="G258" s="12">
        <v>4.9358319042652143E-2</v>
      </c>
      <c r="H258" s="12">
        <v>4.2361711216550972</v>
      </c>
      <c r="I258" s="31">
        <v>14166.701790581476</v>
      </c>
    </row>
    <row r="259" spans="1:9">
      <c r="A259" s="17">
        <v>257</v>
      </c>
      <c r="B259" s="2">
        <v>297</v>
      </c>
      <c r="C259" s="2">
        <v>323</v>
      </c>
      <c r="D259" s="2">
        <v>1014</v>
      </c>
      <c r="E259" s="9">
        <v>90</v>
      </c>
      <c r="F259" s="5">
        <v>7294.490865969653</v>
      </c>
      <c r="G259" s="12">
        <v>7.3627194201320523E-2</v>
      </c>
      <c r="H259" s="12">
        <v>4.2395695140918903</v>
      </c>
      <c r="I259" s="31">
        <v>15075.553065780161</v>
      </c>
    </row>
    <row r="260" spans="1:9">
      <c r="A260" s="17">
        <v>258</v>
      </c>
      <c r="B260" s="2">
        <v>14</v>
      </c>
      <c r="C260" s="2">
        <v>38</v>
      </c>
      <c r="D260" s="2">
        <v>1009</v>
      </c>
      <c r="E260" s="9">
        <v>89</v>
      </c>
      <c r="F260" s="5">
        <v>5254.8159215979986</v>
      </c>
      <c r="G260" s="12">
        <v>6.8431736667547371E-2</v>
      </c>
      <c r="H260" s="12">
        <v>3.7306096753661042</v>
      </c>
      <c r="I260" s="31">
        <v>17842.40334271036</v>
      </c>
    </row>
    <row r="261" spans="1:9">
      <c r="A261" s="17">
        <v>259</v>
      </c>
      <c r="B261" s="2">
        <v>304</v>
      </c>
      <c r="C261" s="2">
        <v>324</v>
      </c>
      <c r="D261" s="2">
        <v>1001</v>
      </c>
      <c r="E261" s="9">
        <v>97</v>
      </c>
      <c r="F261" s="5">
        <v>1449.9090993735599</v>
      </c>
      <c r="G261" s="12">
        <v>6.1650521756631493E-2</v>
      </c>
      <c r="H261" s="12">
        <v>2.6236086247387722</v>
      </c>
      <c r="I261" s="31">
        <v>16124.977024609881</v>
      </c>
    </row>
    <row r="262" spans="1:9">
      <c r="A262" s="17">
        <v>260</v>
      </c>
      <c r="B262" s="2">
        <v>321</v>
      </c>
      <c r="C262" s="2">
        <v>287</v>
      </c>
      <c r="D262" s="2">
        <v>1010</v>
      </c>
      <c r="E262" s="9">
        <v>83</v>
      </c>
      <c r="F262" s="5">
        <v>1036.39309795604</v>
      </c>
      <c r="G262" s="12">
        <v>0.10019034221374895</v>
      </c>
      <c r="H262" s="12">
        <v>2.5592642107960093</v>
      </c>
      <c r="I262" s="31">
        <v>16628.86903430209</v>
      </c>
    </row>
    <row r="263" spans="1:9">
      <c r="A263" s="17">
        <v>261</v>
      </c>
      <c r="B263" s="2">
        <v>74</v>
      </c>
      <c r="C263" s="2">
        <v>43</v>
      </c>
      <c r="D263" s="2">
        <v>1008</v>
      </c>
      <c r="E263" s="9">
        <v>31</v>
      </c>
      <c r="F263" s="5">
        <v>5179.5283807309324</v>
      </c>
      <c r="G263" s="12">
        <v>3.5872787625406632E-2</v>
      </c>
      <c r="H263" s="12">
        <v>2.2549513166233557</v>
      </c>
      <c r="I263" s="31">
        <v>15505.772365376662</v>
      </c>
    </row>
    <row r="264" spans="1:9">
      <c r="A264" s="17">
        <v>262</v>
      </c>
      <c r="B264" s="2">
        <v>189</v>
      </c>
      <c r="C264" s="2">
        <v>282</v>
      </c>
      <c r="D264" s="2">
        <v>1022</v>
      </c>
      <c r="E264" s="9">
        <v>86</v>
      </c>
      <c r="F264" s="5">
        <v>3241.1276192392115</v>
      </c>
      <c r="G264" s="12">
        <v>8.955343936111021E-2</v>
      </c>
      <c r="H264" s="12">
        <v>2.3747471785861127</v>
      </c>
      <c r="I264" s="31">
        <v>15671.271259070101</v>
      </c>
    </row>
    <row r="265" spans="1:9">
      <c r="A265" s="17">
        <v>263</v>
      </c>
      <c r="B265" s="2">
        <v>150</v>
      </c>
      <c r="C265" s="2">
        <v>140</v>
      </c>
      <c r="D265" s="2">
        <v>1006</v>
      </c>
      <c r="E265" s="9">
        <v>62</v>
      </c>
      <c r="F265" s="5">
        <v>4084.0494232470128</v>
      </c>
      <c r="G265" s="12">
        <v>3.2012381247908339E-2</v>
      </c>
      <c r="H265" s="12">
        <v>3.5286619748057366</v>
      </c>
      <c r="I265" s="31">
        <v>15891.390317282832</v>
      </c>
    </row>
    <row r="266" spans="1:9">
      <c r="A266" s="17">
        <v>264</v>
      </c>
      <c r="B266" s="2">
        <v>113</v>
      </c>
      <c r="C266" s="2">
        <v>179</v>
      </c>
      <c r="D266" s="2">
        <v>1007</v>
      </c>
      <c r="E266" s="9">
        <v>31</v>
      </c>
      <c r="F266" s="5">
        <v>5084.3613100455123</v>
      </c>
      <c r="G266" s="12">
        <v>6.5181823288070151E-2</v>
      </c>
      <c r="H266" s="12">
        <v>2.2739813028430764</v>
      </c>
      <c r="I266" s="31">
        <v>16523.456417580212</v>
      </c>
    </row>
    <row r="267" spans="1:9">
      <c r="A267" s="17">
        <v>265</v>
      </c>
      <c r="B267" s="2">
        <v>231</v>
      </c>
      <c r="C267" s="2">
        <v>4</v>
      </c>
      <c r="D267" s="2">
        <v>1002</v>
      </c>
      <c r="E267" s="9">
        <v>65</v>
      </c>
      <c r="F267" s="5">
        <v>4098.2009174508285</v>
      </c>
      <c r="G267" s="12">
        <v>4.3986609784836761E-2</v>
      </c>
      <c r="H267" s="12">
        <v>4.605240585996107</v>
      </c>
      <c r="I267" s="31">
        <v>15822.553959587287</v>
      </c>
    </row>
    <row r="268" spans="1:9">
      <c r="A268" s="17">
        <v>266</v>
      </c>
      <c r="B268" s="2">
        <v>321</v>
      </c>
      <c r="C268" s="2">
        <v>199</v>
      </c>
      <c r="D268" s="2">
        <v>1019</v>
      </c>
      <c r="E268" s="9">
        <v>36</v>
      </c>
      <c r="F268" s="5">
        <v>4284.0175550481554</v>
      </c>
      <c r="G268" s="12">
        <v>6.8412040222823267E-2</v>
      </c>
      <c r="H268" s="12">
        <v>2.5530540531882981</v>
      </c>
      <c r="I268" s="31">
        <v>17230.340060068022</v>
      </c>
    </row>
    <row r="269" spans="1:9">
      <c r="A269" s="17">
        <v>267</v>
      </c>
      <c r="B269" s="2">
        <v>148</v>
      </c>
      <c r="C269" s="2">
        <v>265</v>
      </c>
      <c r="D269" s="2">
        <v>1006</v>
      </c>
      <c r="E269" s="9">
        <v>59</v>
      </c>
      <c r="F269" s="5">
        <v>4542.8556514156817</v>
      </c>
      <c r="G269" s="12">
        <v>0.11202466308065923</v>
      </c>
      <c r="H269" s="12">
        <v>3.7874467774451479</v>
      </c>
      <c r="I269" s="31">
        <v>13598.684847583547</v>
      </c>
    </row>
    <row r="270" spans="1:9">
      <c r="A270" s="17">
        <v>268</v>
      </c>
      <c r="B270" s="2">
        <v>180</v>
      </c>
      <c r="C270" s="2">
        <v>195</v>
      </c>
      <c r="D270" s="2">
        <v>1002</v>
      </c>
      <c r="E270" s="9">
        <v>61</v>
      </c>
      <c r="F270" s="5">
        <v>1698.4911846243058</v>
      </c>
      <c r="G270" s="12">
        <v>5.0407360399616297E-2</v>
      </c>
      <c r="H270" s="12">
        <v>1.765691534054604</v>
      </c>
      <c r="I270" s="31">
        <v>17452.0381264114</v>
      </c>
    </row>
    <row r="271" spans="1:9">
      <c r="A271" s="17">
        <v>269</v>
      </c>
      <c r="B271" s="2">
        <v>197</v>
      </c>
      <c r="C271" s="2">
        <v>13</v>
      </c>
      <c r="D271" s="2">
        <v>1009</v>
      </c>
      <c r="E271" s="9">
        <v>19</v>
      </c>
      <c r="F271" s="5">
        <v>3275.9461172617712</v>
      </c>
      <c r="G271" s="12">
        <v>6.5891161466309855E-2</v>
      </c>
      <c r="H271" s="12">
        <v>2.9407615760498449</v>
      </c>
      <c r="I271" s="31">
        <v>14503.851770477388</v>
      </c>
    </row>
    <row r="272" spans="1:9">
      <c r="A272" s="17">
        <v>270</v>
      </c>
      <c r="B272" s="2">
        <v>220</v>
      </c>
      <c r="C272" s="2">
        <v>223</v>
      </c>
      <c r="D272" s="2">
        <v>1001</v>
      </c>
      <c r="E272" s="9">
        <v>79</v>
      </c>
      <c r="F272" s="5">
        <v>3200.955973490597</v>
      </c>
      <c r="G272" s="12">
        <v>6.780031317236862E-2</v>
      </c>
      <c r="H272" s="12">
        <v>3.6122222245546074</v>
      </c>
      <c r="I272" s="31">
        <v>16914.311105919671</v>
      </c>
    </row>
    <row r="273" spans="1:9">
      <c r="A273" s="17">
        <v>271</v>
      </c>
      <c r="B273" s="2">
        <v>145</v>
      </c>
      <c r="C273" s="2">
        <v>310</v>
      </c>
      <c r="D273" s="2">
        <v>1002</v>
      </c>
      <c r="E273" s="9">
        <v>48</v>
      </c>
      <c r="F273" s="5">
        <v>1139.5689467730854</v>
      </c>
      <c r="G273" s="12">
        <v>0.12967635551365092</v>
      </c>
      <c r="H273" s="12">
        <v>3.3280999283044186</v>
      </c>
      <c r="I273" s="31">
        <v>16360.501140097233</v>
      </c>
    </row>
    <row r="274" spans="1:9">
      <c r="A274" s="17">
        <v>272</v>
      </c>
      <c r="B274" s="2">
        <v>175</v>
      </c>
      <c r="C274" s="2">
        <v>330</v>
      </c>
      <c r="D274" s="2">
        <v>1017</v>
      </c>
      <c r="E274" s="9">
        <v>30</v>
      </c>
      <c r="F274" s="5">
        <v>3150.6518830241994</v>
      </c>
      <c r="G274" s="12">
        <v>4.3891031214001119E-2</v>
      </c>
      <c r="H274" s="12">
        <v>2.0808899040013604</v>
      </c>
      <c r="I274" s="31">
        <v>15300.625212402712</v>
      </c>
    </row>
    <row r="275" spans="1:9">
      <c r="A275" s="17">
        <v>273</v>
      </c>
      <c r="B275" s="2">
        <v>290</v>
      </c>
      <c r="C275" s="2">
        <v>129</v>
      </c>
      <c r="D275" s="2">
        <v>1006</v>
      </c>
      <c r="E275" s="9">
        <v>22</v>
      </c>
      <c r="F275" s="5">
        <v>4273.0243342288823</v>
      </c>
      <c r="G275" s="12">
        <v>7.864809380850929E-2</v>
      </c>
      <c r="H275" s="12">
        <v>3.8921976728908523</v>
      </c>
      <c r="I275" s="31">
        <v>16529.659810093483</v>
      </c>
    </row>
    <row r="276" spans="1:9">
      <c r="A276" s="17">
        <v>274</v>
      </c>
      <c r="B276" s="2">
        <v>206</v>
      </c>
      <c r="C276" s="2">
        <v>1</v>
      </c>
      <c r="D276" s="2">
        <v>1015</v>
      </c>
      <c r="E276" s="9">
        <v>86</v>
      </c>
      <c r="F276" s="5">
        <v>2622.4662633371345</v>
      </c>
      <c r="G276" s="12">
        <v>6.6674639578990169E-2</v>
      </c>
      <c r="H276" s="12">
        <v>3.7036147068726497</v>
      </c>
      <c r="I276" s="31">
        <v>15787.239268665337</v>
      </c>
    </row>
    <row r="277" spans="1:9">
      <c r="A277" s="17">
        <v>275</v>
      </c>
      <c r="B277" s="2">
        <v>208</v>
      </c>
      <c r="C277" s="2">
        <v>87</v>
      </c>
      <c r="D277" s="2">
        <v>1002</v>
      </c>
      <c r="E277" s="9">
        <v>95</v>
      </c>
      <c r="F277" s="5">
        <v>2570.5097340773655</v>
      </c>
      <c r="G277" s="12">
        <v>7.5636909082162307E-2</v>
      </c>
      <c r="H277" s="12">
        <v>2.0107500172422808</v>
      </c>
      <c r="I277" s="31">
        <v>14012.004049781728</v>
      </c>
    </row>
    <row r="278" spans="1:9">
      <c r="A278" s="17">
        <v>276</v>
      </c>
      <c r="B278" s="2">
        <v>142</v>
      </c>
      <c r="C278" s="2">
        <v>86</v>
      </c>
      <c r="D278" s="2">
        <v>1017</v>
      </c>
      <c r="E278" s="9">
        <v>90</v>
      </c>
      <c r="F278" s="5">
        <v>1672.6385807391644</v>
      </c>
      <c r="G278" s="12">
        <v>2.8586651692306619E-2</v>
      </c>
      <c r="H278" s="12">
        <v>2.2010625222684941</v>
      </c>
      <c r="I278" s="31">
        <v>14447.892213847274</v>
      </c>
    </row>
    <row r="279" spans="1:9">
      <c r="A279" s="17">
        <v>277</v>
      </c>
      <c r="B279" s="2">
        <v>21</v>
      </c>
      <c r="C279" s="2">
        <v>232</v>
      </c>
      <c r="D279" s="2">
        <v>1023</v>
      </c>
      <c r="E279" s="9">
        <v>60</v>
      </c>
      <c r="F279" s="5">
        <v>2697.743332475472</v>
      </c>
      <c r="G279" s="12">
        <v>3.3620230583322697E-2</v>
      </c>
      <c r="H279" s="12">
        <v>3.0726730610489814</v>
      </c>
      <c r="I279" s="31">
        <v>14092.53960844527</v>
      </c>
    </row>
    <row r="280" spans="1:9">
      <c r="A280" s="17">
        <v>278</v>
      </c>
      <c r="B280" s="2">
        <v>142</v>
      </c>
      <c r="C280" s="2">
        <v>17</v>
      </c>
      <c r="D280" s="2">
        <v>1010</v>
      </c>
      <c r="E280" s="9">
        <v>79</v>
      </c>
      <c r="F280" s="5">
        <v>4355.3656315675262</v>
      </c>
      <c r="G280" s="12">
        <v>3.6332048707548525E-2</v>
      </c>
      <c r="H280" s="12">
        <v>4.434511823100074</v>
      </c>
      <c r="I280" s="31">
        <v>15423.259462549515</v>
      </c>
    </row>
    <row r="281" spans="1:9">
      <c r="A281" s="17">
        <v>279</v>
      </c>
      <c r="B281" s="2">
        <v>90</v>
      </c>
      <c r="C281" s="2">
        <v>179</v>
      </c>
      <c r="D281" s="2">
        <v>1005</v>
      </c>
      <c r="E281" s="9">
        <v>57</v>
      </c>
      <c r="F281" s="5">
        <v>4805.034229247628</v>
      </c>
      <c r="G281" s="12">
        <v>5.0297360353282417E-2</v>
      </c>
      <c r="H281" s="12">
        <v>3.8672078570777377</v>
      </c>
      <c r="I281" s="31">
        <v>15358.467905188638</v>
      </c>
    </row>
    <row r="282" spans="1:9">
      <c r="A282" s="17">
        <v>280</v>
      </c>
      <c r="B282" s="2">
        <v>146</v>
      </c>
      <c r="C282" s="2">
        <v>34</v>
      </c>
      <c r="D282" s="2">
        <v>1020</v>
      </c>
      <c r="E282" s="9">
        <v>96</v>
      </c>
      <c r="F282" s="5">
        <v>3636.6364359350491</v>
      </c>
      <c r="G282" s="12">
        <v>9.6432918721687744E-2</v>
      </c>
      <c r="H282" s="12">
        <v>3.2018954163185573</v>
      </c>
      <c r="I282" s="31">
        <v>16022.509432131676</v>
      </c>
    </row>
    <row r="283" spans="1:9">
      <c r="A283" s="17">
        <v>281</v>
      </c>
      <c r="B283" s="2">
        <v>146</v>
      </c>
      <c r="C283" s="2">
        <v>7</v>
      </c>
      <c r="D283" s="2">
        <v>1003</v>
      </c>
      <c r="E283" s="9">
        <v>61</v>
      </c>
      <c r="F283" s="5">
        <v>5949.7659156335949</v>
      </c>
      <c r="G283" s="12">
        <v>7.3075403383767112E-2</v>
      </c>
      <c r="H283" s="12">
        <v>1.9943699679822022</v>
      </c>
      <c r="I283" s="31">
        <v>17407.477738724458</v>
      </c>
    </row>
    <row r="284" spans="1:9">
      <c r="A284" s="17">
        <v>282</v>
      </c>
      <c r="B284" s="2">
        <v>30</v>
      </c>
      <c r="C284" s="2">
        <v>287</v>
      </c>
      <c r="D284" s="2">
        <v>1010</v>
      </c>
      <c r="E284" s="9">
        <v>25</v>
      </c>
      <c r="F284" s="5">
        <v>3677.2416112530273</v>
      </c>
      <c r="G284" s="12">
        <v>8.1786022978916295E-2</v>
      </c>
      <c r="H284" s="12">
        <v>3.8005624482558962</v>
      </c>
      <c r="I284" s="31">
        <v>17196.378073257994</v>
      </c>
    </row>
    <row r="285" spans="1:9">
      <c r="A285" s="17">
        <v>283</v>
      </c>
      <c r="B285" s="2">
        <v>156</v>
      </c>
      <c r="C285" s="2">
        <v>299</v>
      </c>
      <c r="D285" s="2">
        <v>1015</v>
      </c>
      <c r="E285" s="9">
        <v>36</v>
      </c>
      <c r="F285" s="5">
        <v>3613.1462540510774</v>
      </c>
      <c r="G285" s="12">
        <v>8.4162953148619268E-2</v>
      </c>
      <c r="H285" s="12">
        <v>2.1497617150111457</v>
      </c>
      <c r="I285" s="31">
        <v>15109.326636574599</v>
      </c>
    </row>
    <row r="286" spans="1:9">
      <c r="A286" s="17">
        <v>284</v>
      </c>
      <c r="B286" s="2">
        <v>344</v>
      </c>
      <c r="C286" s="2">
        <v>174</v>
      </c>
      <c r="D286" s="2">
        <v>1019</v>
      </c>
      <c r="E286" s="9">
        <v>45</v>
      </c>
      <c r="F286" s="5">
        <v>5538.6500344406677</v>
      </c>
      <c r="G286" s="12">
        <v>3.3787964925862612E-2</v>
      </c>
      <c r="H286" s="12">
        <v>3.1531434033888037</v>
      </c>
      <c r="I286" s="31">
        <v>14916.433692614566</v>
      </c>
    </row>
    <row r="287" spans="1:9">
      <c r="A287" s="17">
        <v>285</v>
      </c>
      <c r="B287" s="2">
        <v>209</v>
      </c>
      <c r="C287" s="2">
        <v>328</v>
      </c>
      <c r="D287" s="2">
        <v>1018</v>
      </c>
      <c r="E287" s="9">
        <v>93</v>
      </c>
      <c r="F287" s="5">
        <v>1633.8429201454865</v>
      </c>
      <c r="G287" s="12">
        <v>7.2944593825808257E-2</v>
      </c>
      <c r="H287" s="12">
        <v>4.4914854677323817</v>
      </c>
      <c r="I287" s="31">
        <v>16718.493617717661</v>
      </c>
    </row>
    <row r="288" spans="1:9">
      <c r="A288" s="17">
        <v>286</v>
      </c>
      <c r="B288" s="2">
        <v>58</v>
      </c>
      <c r="C288" s="2">
        <v>312</v>
      </c>
      <c r="D288" s="2">
        <v>1019</v>
      </c>
      <c r="E288" s="9">
        <v>32</v>
      </c>
      <c r="F288" s="5">
        <v>3877.201365671187</v>
      </c>
      <c r="G288" s="12">
        <v>5.290367909299093E-2</v>
      </c>
      <c r="H288" s="12">
        <v>4.1049587850999885</v>
      </c>
      <c r="I288" s="31">
        <v>15949.210482066894</v>
      </c>
    </row>
    <row r="289" spans="1:9">
      <c r="A289" s="17">
        <v>287</v>
      </c>
      <c r="B289" s="2">
        <v>188</v>
      </c>
      <c r="C289" s="2">
        <v>199</v>
      </c>
      <c r="D289" s="2">
        <v>1005</v>
      </c>
      <c r="E289" s="9">
        <v>43</v>
      </c>
      <c r="F289" s="5">
        <v>4546.7050588963111</v>
      </c>
      <c r="G289" s="12">
        <v>2.9956014345656146E-2</v>
      </c>
      <c r="H289" s="12">
        <v>3.286914648534712</v>
      </c>
      <c r="I289" s="31">
        <v>16526.899105865061</v>
      </c>
    </row>
    <row r="290" spans="1:9">
      <c r="A290" s="17">
        <v>288</v>
      </c>
      <c r="B290" s="2">
        <v>335</v>
      </c>
      <c r="C290" s="2">
        <v>135</v>
      </c>
      <c r="D290" s="2">
        <v>1002</v>
      </c>
      <c r="E290" s="9">
        <v>26</v>
      </c>
      <c r="F290" s="5">
        <v>6684.6173848166081</v>
      </c>
      <c r="G290" s="12">
        <v>9.1273805241938677E-2</v>
      </c>
      <c r="H290" s="12">
        <v>3.7038321635315516</v>
      </c>
      <c r="I290" s="31">
        <v>16931.512259342901</v>
      </c>
    </row>
    <row r="291" spans="1:9">
      <c r="A291" s="17">
        <v>289</v>
      </c>
      <c r="B291" s="2">
        <v>285</v>
      </c>
      <c r="C291" s="2">
        <v>54</v>
      </c>
      <c r="D291" s="2">
        <v>1004</v>
      </c>
      <c r="E291" s="9">
        <v>38</v>
      </c>
      <c r="F291" s="5">
        <v>2862.1515678600708</v>
      </c>
      <c r="G291" s="12">
        <v>9.1050417554355223E-2</v>
      </c>
      <c r="H291" s="12">
        <v>0.54841467170597769</v>
      </c>
      <c r="I291" s="31">
        <v>17850.464271377325</v>
      </c>
    </row>
    <row r="292" spans="1:9">
      <c r="A292" s="17">
        <v>290</v>
      </c>
      <c r="B292" s="2">
        <v>89</v>
      </c>
      <c r="C292" s="2">
        <v>17</v>
      </c>
      <c r="D292" s="2">
        <v>1001</v>
      </c>
      <c r="E292" s="9">
        <v>78</v>
      </c>
      <c r="F292" s="5">
        <v>5090.5940829847686</v>
      </c>
      <c r="G292" s="12">
        <v>5.8931855851254655E-2</v>
      </c>
      <c r="H292" s="12">
        <v>3.9677840903856851</v>
      </c>
      <c r="I292" s="31">
        <v>16683.120558790881</v>
      </c>
    </row>
    <row r="293" spans="1:9">
      <c r="A293" s="17">
        <v>291</v>
      </c>
      <c r="B293" s="2">
        <v>188</v>
      </c>
      <c r="C293" s="2">
        <v>10</v>
      </c>
      <c r="D293" s="2">
        <v>1012</v>
      </c>
      <c r="E293" s="9">
        <v>58</v>
      </c>
      <c r="F293" s="5">
        <v>2979.715571950198</v>
      </c>
      <c r="G293" s="12">
        <v>4.2075764281320149E-2</v>
      </c>
      <c r="H293" s="12">
        <v>2.9624591991898162</v>
      </c>
      <c r="I293" s="31">
        <v>16138.066817692936</v>
      </c>
    </row>
    <row r="294" spans="1:9">
      <c r="A294" s="17">
        <v>292</v>
      </c>
      <c r="B294" s="2">
        <v>119</v>
      </c>
      <c r="C294" s="2">
        <v>335</v>
      </c>
      <c r="D294" s="2">
        <v>1012</v>
      </c>
      <c r="E294" s="9">
        <v>42</v>
      </c>
      <c r="F294" s="5">
        <v>6476.8080225434978</v>
      </c>
      <c r="G294" s="12">
        <v>3.9298517181008352E-2</v>
      </c>
      <c r="H294" s="12">
        <v>5.8207373380206988</v>
      </c>
      <c r="I294" s="31">
        <v>16644.507563596027</v>
      </c>
    </row>
    <row r="295" spans="1:9">
      <c r="A295" s="17">
        <v>293</v>
      </c>
      <c r="B295" s="2">
        <v>17</v>
      </c>
      <c r="C295" s="2">
        <v>243</v>
      </c>
      <c r="D295" s="2">
        <v>1004</v>
      </c>
      <c r="E295" s="9">
        <v>70</v>
      </c>
      <c r="F295" s="5">
        <v>1661.6139447337055</v>
      </c>
      <c r="G295" s="12">
        <v>8.2177532162744316E-2</v>
      </c>
      <c r="H295" s="12">
        <v>3.7267561410850978</v>
      </c>
      <c r="I295" s="31">
        <v>14580.725504837948</v>
      </c>
    </row>
    <row r="296" spans="1:9">
      <c r="A296" s="17">
        <v>294</v>
      </c>
      <c r="B296" s="2">
        <v>297</v>
      </c>
      <c r="C296" s="2">
        <v>324</v>
      </c>
      <c r="D296" s="2">
        <v>1011</v>
      </c>
      <c r="E296" s="9">
        <v>77</v>
      </c>
      <c r="F296" s="5">
        <v>2074.1665471081951</v>
      </c>
      <c r="G296" s="12">
        <v>6.3259895509757913E-2</v>
      </c>
      <c r="H296" s="12">
        <v>3.6593597482203042</v>
      </c>
      <c r="I296" s="31">
        <v>15646.010200979992</v>
      </c>
    </row>
    <row r="297" spans="1:9">
      <c r="A297" s="17">
        <v>295</v>
      </c>
      <c r="B297" s="2">
        <v>191</v>
      </c>
      <c r="C297" s="2">
        <v>294</v>
      </c>
      <c r="D297" s="2">
        <v>1016</v>
      </c>
      <c r="E297" s="9">
        <v>48</v>
      </c>
      <c r="F297" s="5">
        <v>5246.5139350619729</v>
      </c>
      <c r="G297" s="12">
        <v>6.603532782707916E-2</v>
      </c>
      <c r="H297" s="12">
        <v>3.2860182719581918</v>
      </c>
      <c r="I297" s="31">
        <v>15403.675460929127</v>
      </c>
    </row>
    <row r="298" spans="1:9">
      <c r="A298" s="17">
        <v>296</v>
      </c>
      <c r="B298" s="2">
        <v>252</v>
      </c>
      <c r="C298" s="2">
        <v>316</v>
      </c>
      <c r="D298" s="2">
        <v>1005</v>
      </c>
      <c r="E298" s="9">
        <v>40</v>
      </c>
      <c r="F298" s="5">
        <v>5028.9868085287317</v>
      </c>
      <c r="G298" s="12">
        <v>8.0057841432675192E-2</v>
      </c>
      <c r="H298" s="12">
        <v>5.1438402730433879</v>
      </c>
      <c r="I298" s="31">
        <v>16414.778264588142</v>
      </c>
    </row>
    <row r="299" spans="1:9">
      <c r="A299" s="17">
        <v>297</v>
      </c>
      <c r="B299" s="2">
        <v>41</v>
      </c>
      <c r="C299" s="2">
        <v>87</v>
      </c>
      <c r="D299" s="2">
        <v>1007</v>
      </c>
      <c r="E299" s="9">
        <v>45</v>
      </c>
      <c r="F299" s="5">
        <v>5127.0901519496483</v>
      </c>
      <c r="G299" s="12">
        <v>8.5535122666327512E-2</v>
      </c>
      <c r="H299" s="12">
        <v>0.85561518802358494</v>
      </c>
      <c r="I299" s="31">
        <v>16171.245444438147</v>
      </c>
    </row>
    <row r="300" spans="1:9">
      <c r="A300" s="17">
        <v>298</v>
      </c>
      <c r="B300" s="2">
        <v>263</v>
      </c>
      <c r="C300" s="2">
        <v>102</v>
      </c>
      <c r="D300" s="2">
        <v>1020</v>
      </c>
      <c r="E300" s="9">
        <v>32</v>
      </c>
      <c r="F300" s="5">
        <v>3410.8157002487651</v>
      </c>
      <c r="G300" s="12">
        <v>5.1252952484786507E-2</v>
      </c>
      <c r="H300" s="12">
        <v>3.7105657342601082</v>
      </c>
      <c r="I300" s="31">
        <v>14930.231069756166</v>
      </c>
    </row>
    <row r="301" spans="1:9">
      <c r="A301" s="17">
        <v>299</v>
      </c>
      <c r="B301" s="2">
        <v>257</v>
      </c>
      <c r="C301" s="2">
        <v>145</v>
      </c>
      <c r="D301" s="2">
        <v>1001</v>
      </c>
      <c r="E301" s="9">
        <v>32</v>
      </c>
      <c r="F301" s="5">
        <v>5049.012942549286</v>
      </c>
      <c r="G301" s="12">
        <v>7.2972396301223486E-2</v>
      </c>
      <c r="H301" s="12">
        <v>3.719514328630503</v>
      </c>
      <c r="I301" s="31">
        <v>14661.355271509285</v>
      </c>
    </row>
    <row r="302" spans="1:9">
      <c r="A302" s="17">
        <v>300</v>
      </c>
      <c r="B302" s="2">
        <v>289</v>
      </c>
      <c r="C302" s="2">
        <v>191</v>
      </c>
      <c r="D302" s="2">
        <v>1015</v>
      </c>
      <c r="E302" s="9">
        <v>26</v>
      </c>
      <c r="F302" s="5">
        <v>2953.1864943891896</v>
      </c>
      <c r="G302" s="12">
        <v>0.10901734989135875</v>
      </c>
      <c r="H302" s="12">
        <v>1.6646601589024432</v>
      </c>
      <c r="I302" s="31">
        <v>15961.827187110805</v>
      </c>
    </row>
    <row r="303" spans="1:9">
      <c r="A303" s="17">
        <v>301</v>
      </c>
      <c r="B303" s="2">
        <v>351</v>
      </c>
      <c r="C303" s="2">
        <v>238</v>
      </c>
      <c r="D303" s="2">
        <v>1016</v>
      </c>
      <c r="E303" s="9">
        <v>74</v>
      </c>
      <c r="F303" s="5">
        <v>8643.1657523821341</v>
      </c>
      <c r="G303" s="12">
        <v>6.8459635931388763E-2</v>
      </c>
      <c r="H303" s="12">
        <v>3.2661058162738574</v>
      </c>
      <c r="I303" s="31">
        <v>15543.635792509496</v>
      </c>
    </row>
    <row r="304" spans="1:9">
      <c r="A304" s="17">
        <v>302</v>
      </c>
      <c r="B304" s="2">
        <v>296</v>
      </c>
      <c r="C304" s="2">
        <v>49</v>
      </c>
      <c r="D304" s="2">
        <v>1013</v>
      </c>
      <c r="E304" s="9">
        <v>79</v>
      </c>
      <c r="F304" s="5">
        <v>7665.8937631322779</v>
      </c>
      <c r="G304" s="12">
        <v>6.0480422275644374E-2</v>
      </c>
      <c r="H304" s="12">
        <v>3.6327731431037411</v>
      </c>
      <c r="I304" s="31">
        <v>14999.136035457388</v>
      </c>
    </row>
    <row r="305" spans="1:9">
      <c r="A305" s="17">
        <v>303</v>
      </c>
      <c r="B305" s="2">
        <v>21</v>
      </c>
      <c r="C305" s="2">
        <v>176</v>
      </c>
      <c r="D305" s="2">
        <v>1012</v>
      </c>
      <c r="E305" s="9">
        <v>71</v>
      </c>
      <c r="F305" s="5">
        <v>6433.5849150433723</v>
      </c>
      <c r="G305" s="12">
        <v>6.3681796259401013E-2</v>
      </c>
      <c r="H305" s="12">
        <v>0.69668977028748502</v>
      </c>
      <c r="I305" s="31">
        <v>15697.827677267389</v>
      </c>
    </row>
    <row r="306" spans="1:9">
      <c r="A306" s="17">
        <v>304</v>
      </c>
      <c r="B306" s="2">
        <v>273</v>
      </c>
      <c r="C306" s="2">
        <v>79</v>
      </c>
      <c r="D306" s="2">
        <v>1021</v>
      </c>
      <c r="E306" s="9">
        <v>47</v>
      </c>
      <c r="F306" s="5">
        <v>4176.1775982553963</v>
      </c>
      <c r="G306" s="12">
        <v>2.6902726653928399E-2</v>
      </c>
      <c r="H306" s="12">
        <v>2.9672255457250505</v>
      </c>
      <c r="I306" s="31">
        <v>15932.050288647053</v>
      </c>
    </row>
    <row r="307" spans="1:9">
      <c r="A307" s="17">
        <v>305</v>
      </c>
      <c r="B307" s="2">
        <v>102</v>
      </c>
      <c r="C307" s="2">
        <v>43</v>
      </c>
      <c r="D307" s="2">
        <v>1021</v>
      </c>
      <c r="E307" s="9">
        <v>32</v>
      </c>
      <c r="F307" s="5">
        <v>4537.7245043386729</v>
      </c>
      <c r="G307" s="12">
        <v>0.11075537965996191</v>
      </c>
      <c r="H307" s="12">
        <v>3.5049983917553438</v>
      </c>
      <c r="I307" s="31">
        <v>15550.480209075806</v>
      </c>
    </row>
    <row r="308" spans="1:9">
      <c r="A308" s="17">
        <v>306</v>
      </c>
      <c r="B308" s="2">
        <v>226</v>
      </c>
      <c r="C308" s="2">
        <v>97</v>
      </c>
      <c r="D308" s="2">
        <v>1020</v>
      </c>
      <c r="E308" s="9">
        <v>61</v>
      </c>
      <c r="F308" s="5">
        <v>4194.0905374185213</v>
      </c>
      <c r="G308" s="12">
        <v>8.5410386582110365E-2</v>
      </c>
      <c r="H308" s="12">
        <v>3.0977576980796404</v>
      </c>
      <c r="I308" s="31">
        <v>16798.158776309185</v>
      </c>
    </row>
    <row r="309" spans="1:9">
      <c r="A309" s="17">
        <v>307</v>
      </c>
      <c r="B309" s="2">
        <v>242</v>
      </c>
      <c r="C309" s="2">
        <v>352</v>
      </c>
      <c r="D309" s="2">
        <v>1014</v>
      </c>
      <c r="E309" s="9">
        <v>75</v>
      </c>
      <c r="F309" s="5">
        <v>3435.9813587293111</v>
      </c>
      <c r="G309" s="12">
        <v>9.7007454819389383E-2</v>
      </c>
      <c r="H309" s="12">
        <v>1.2838176921911149</v>
      </c>
      <c r="I309" s="31">
        <v>16025.004920338153</v>
      </c>
    </row>
    <row r="310" spans="1:9">
      <c r="A310" s="17">
        <v>308</v>
      </c>
      <c r="B310" s="2">
        <v>268</v>
      </c>
      <c r="C310" s="2">
        <v>343</v>
      </c>
      <c r="D310" s="2">
        <v>1004</v>
      </c>
      <c r="E310" s="9">
        <v>78</v>
      </c>
      <c r="F310" s="5">
        <v>2332.2527733530087</v>
      </c>
      <c r="G310" s="12">
        <v>6.670290179942967E-2</v>
      </c>
      <c r="H310" s="12">
        <v>3.5984111981485332</v>
      </c>
      <c r="I310" s="31">
        <v>16462.637980548072</v>
      </c>
    </row>
    <row r="311" spans="1:9">
      <c r="A311" s="17">
        <v>309</v>
      </c>
      <c r="B311" s="2">
        <v>319</v>
      </c>
      <c r="C311" s="2">
        <v>262</v>
      </c>
      <c r="D311" s="2">
        <v>1003</v>
      </c>
      <c r="E311" s="9">
        <v>49</v>
      </c>
      <c r="F311" s="5">
        <v>4455.4565091011291</v>
      </c>
      <c r="G311" s="12">
        <v>6.1358535272005243E-2</v>
      </c>
      <c r="H311" s="12">
        <v>2.257302882818458</v>
      </c>
      <c r="I311" s="31">
        <v>14474.434296043375</v>
      </c>
    </row>
    <row r="312" spans="1:9">
      <c r="A312" s="17">
        <v>310</v>
      </c>
      <c r="B312" s="2">
        <v>109</v>
      </c>
      <c r="C312" s="2">
        <v>43</v>
      </c>
      <c r="D312" s="2">
        <v>1011</v>
      </c>
      <c r="E312" s="9">
        <v>23</v>
      </c>
      <c r="F312" s="5">
        <v>4800.179535809054</v>
      </c>
      <c r="G312" s="12">
        <v>7.7326810805856072E-2</v>
      </c>
      <c r="H312" s="12">
        <v>2.5551249485794689</v>
      </c>
      <c r="I312" s="31">
        <v>16011.841399248999</v>
      </c>
    </row>
    <row r="313" spans="1:9">
      <c r="A313" s="17">
        <v>311</v>
      </c>
      <c r="B313" s="2">
        <v>335</v>
      </c>
      <c r="C313" s="2">
        <v>105</v>
      </c>
      <c r="D313" s="2">
        <v>1007</v>
      </c>
      <c r="E313" s="9">
        <v>91</v>
      </c>
      <c r="F313" s="5">
        <v>5000.3403474188026</v>
      </c>
      <c r="G313" s="12">
        <v>8.4562302194966465E-2</v>
      </c>
      <c r="H313" s="12">
        <v>2.9934556230636464</v>
      </c>
      <c r="I313" s="31">
        <v>17224.257499564748</v>
      </c>
    </row>
    <row r="314" spans="1:9">
      <c r="A314" s="17">
        <v>312</v>
      </c>
      <c r="B314" s="2">
        <v>207</v>
      </c>
      <c r="C314" s="2">
        <v>194</v>
      </c>
      <c r="D314" s="2">
        <v>1002</v>
      </c>
      <c r="E314" s="9">
        <v>25</v>
      </c>
      <c r="F314" s="5">
        <v>2480.6329807456286</v>
      </c>
      <c r="G314" s="12">
        <v>9.1217764743190488E-2</v>
      </c>
      <c r="H314" s="12">
        <v>2.3396797637723741</v>
      </c>
      <c r="I314" s="31">
        <v>17670.797312511615</v>
      </c>
    </row>
    <row r="315" spans="1:9">
      <c r="A315" s="17">
        <v>313</v>
      </c>
      <c r="B315" s="2">
        <v>178</v>
      </c>
      <c r="C315" s="2">
        <v>37</v>
      </c>
      <c r="D315" s="2">
        <v>1005</v>
      </c>
      <c r="E315" s="9">
        <v>94</v>
      </c>
      <c r="F315" s="5">
        <v>8731.4633690215996</v>
      </c>
      <c r="G315" s="12">
        <v>6.3413014799947265E-2</v>
      </c>
      <c r="H315" s="12">
        <v>1.2822853813155966</v>
      </c>
      <c r="I315" s="31">
        <v>15927.846768299252</v>
      </c>
    </row>
    <row r="316" spans="1:9">
      <c r="A316" s="17">
        <v>314</v>
      </c>
      <c r="B316" s="2">
        <v>308</v>
      </c>
      <c r="C316" s="2">
        <v>147</v>
      </c>
      <c r="D316" s="2">
        <v>1003</v>
      </c>
      <c r="E316" s="9">
        <v>63</v>
      </c>
      <c r="F316" s="5">
        <v>2440.8571663429548</v>
      </c>
      <c r="G316" s="12">
        <v>6.2092336724957564E-2</v>
      </c>
      <c r="H316" s="12">
        <v>2.9950751694593056</v>
      </c>
      <c r="I316" s="31">
        <v>15936.597873023322</v>
      </c>
    </row>
    <row r="317" spans="1:9">
      <c r="A317" s="17">
        <v>315</v>
      </c>
      <c r="B317" s="2">
        <v>127</v>
      </c>
      <c r="C317" s="2">
        <v>181</v>
      </c>
      <c r="D317" s="2">
        <v>1003</v>
      </c>
      <c r="E317" s="9">
        <v>87</v>
      </c>
      <c r="F317" s="5">
        <v>1235.422962863101</v>
      </c>
      <c r="G317" s="12">
        <v>5.5698977234782066E-2</v>
      </c>
      <c r="H317" s="12">
        <v>1.9172006682958274</v>
      </c>
      <c r="I317" s="31">
        <v>15734.275936283131</v>
      </c>
    </row>
    <row r="318" spans="1:9">
      <c r="A318" s="17">
        <v>316</v>
      </c>
      <c r="B318" s="2">
        <v>166</v>
      </c>
      <c r="C318" s="2">
        <v>71</v>
      </c>
      <c r="D318" s="2">
        <v>1014</v>
      </c>
      <c r="E318" s="9">
        <v>70</v>
      </c>
      <c r="F318" s="5">
        <v>5204.3421891261978</v>
      </c>
      <c r="G318" s="12">
        <v>0.10128492252522264</v>
      </c>
      <c r="H318" s="12">
        <v>3.4193204681479803</v>
      </c>
      <c r="I318" s="31">
        <v>15602.231125357695</v>
      </c>
    </row>
    <row r="319" spans="1:9">
      <c r="A319" s="17">
        <v>317</v>
      </c>
      <c r="B319" s="2">
        <v>2</v>
      </c>
      <c r="C319" s="2">
        <v>227</v>
      </c>
      <c r="D319" s="2">
        <v>1001</v>
      </c>
      <c r="E319" s="9">
        <v>43</v>
      </c>
      <c r="F319" s="5">
        <v>5993.1188725699549</v>
      </c>
      <c r="G319" s="12">
        <v>7.6127844176765935E-2</v>
      </c>
      <c r="H319" s="12">
        <v>3.6702603953892141</v>
      </c>
      <c r="I319" s="31">
        <v>16304.672655477963</v>
      </c>
    </row>
    <row r="320" spans="1:9">
      <c r="A320" s="17">
        <v>318</v>
      </c>
      <c r="B320" s="2">
        <v>72</v>
      </c>
      <c r="C320" s="2">
        <v>234</v>
      </c>
      <c r="D320" s="2">
        <v>1012</v>
      </c>
      <c r="E320" s="9">
        <v>97</v>
      </c>
      <c r="F320" s="5">
        <v>5387.8445746745065</v>
      </c>
      <c r="G320" s="12">
        <v>5.5542034801759288E-2</v>
      </c>
      <c r="H320" s="12">
        <v>3.1874560413108886</v>
      </c>
      <c r="I320" s="31">
        <v>15583.208275783738</v>
      </c>
    </row>
    <row r="321" spans="1:9">
      <c r="A321" s="17">
        <v>319</v>
      </c>
      <c r="B321" s="2">
        <v>231</v>
      </c>
      <c r="C321" s="2">
        <v>107</v>
      </c>
      <c r="D321" s="2">
        <v>1013</v>
      </c>
      <c r="E321" s="9">
        <v>92</v>
      </c>
      <c r="F321" s="5">
        <v>2325.1655073494994</v>
      </c>
      <c r="G321" s="12">
        <v>5.9689225285977587E-2</v>
      </c>
      <c r="H321" s="12">
        <v>2.0384807983838802</v>
      </c>
      <c r="I321" s="31">
        <v>17769.19143265278</v>
      </c>
    </row>
    <row r="322" spans="1:9">
      <c r="A322" s="17">
        <v>320</v>
      </c>
      <c r="B322" s="2">
        <v>314</v>
      </c>
      <c r="C322" s="2">
        <v>293</v>
      </c>
      <c r="D322" s="2">
        <v>1008</v>
      </c>
      <c r="E322" s="9">
        <v>62</v>
      </c>
      <c r="F322" s="5">
        <v>7908.0839051670928</v>
      </c>
      <c r="G322" s="12">
        <v>9.2321443166723471E-2</v>
      </c>
      <c r="H322" s="12">
        <v>2.186872210992242</v>
      </c>
      <c r="I322" s="31">
        <v>14418.048755378015</v>
      </c>
    </row>
    <row r="323" spans="1:9">
      <c r="A323" s="17">
        <v>321</v>
      </c>
      <c r="B323" s="2">
        <v>177</v>
      </c>
      <c r="C323" s="2">
        <v>115</v>
      </c>
      <c r="D323" s="2">
        <v>1004</v>
      </c>
      <c r="E323" s="9">
        <v>43</v>
      </c>
      <c r="F323" s="5">
        <v>3618.8428744794301</v>
      </c>
      <c r="G323" s="12">
        <v>6.9443272509373488E-2</v>
      </c>
      <c r="H323" s="12">
        <v>4.0974034304860467</v>
      </c>
      <c r="I323" s="31">
        <v>15707.203422043141</v>
      </c>
    </row>
    <row r="324" spans="1:9">
      <c r="A324" s="17">
        <v>322</v>
      </c>
      <c r="B324" s="2">
        <v>309</v>
      </c>
      <c r="C324" s="2">
        <v>57</v>
      </c>
      <c r="D324" s="2">
        <v>1022</v>
      </c>
      <c r="E324" s="9">
        <v>24</v>
      </c>
      <c r="F324" s="5">
        <v>5320.6412083859113</v>
      </c>
      <c r="G324" s="12">
        <v>9.7439711930631889E-2</v>
      </c>
      <c r="H324" s="12">
        <v>1.5724180784752027</v>
      </c>
      <c r="I324" s="31">
        <v>17244.497885239445</v>
      </c>
    </row>
    <row r="325" spans="1:9">
      <c r="A325" s="17">
        <v>323</v>
      </c>
      <c r="B325" s="2">
        <v>14</v>
      </c>
      <c r="C325" s="2">
        <v>282</v>
      </c>
      <c r="D325" s="2">
        <v>1004</v>
      </c>
      <c r="E325" s="9">
        <v>38</v>
      </c>
      <c r="F325" s="5">
        <v>2547.6101576936862</v>
      </c>
      <c r="G325" s="12">
        <v>0.10001321939387126</v>
      </c>
      <c r="H325" s="12">
        <v>4.9229144218622238</v>
      </c>
      <c r="I325" s="31">
        <v>15279.52569065693</v>
      </c>
    </row>
    <row r="326" spans="1:9">
      <c r="A326" s="17">
        <v>324</v>
      </c>
      <c r="B326" s="2">
        <v>69</v>
      </c>
      <c r="C326" s="2">
        <v>138</v>
      </c>
      <c r="D326" s="2">
        <v>1012</v>
      </c>
      <c r="E326" s="9">
        <v>52</v>
      </c>
      <c r="F326" s="5">
        <v>4427.9849759545477</v>
      </c>
      <c r="G326" s="12">
        <v>9.2034271906298815E-2</v>
      </c>
      <c r="H326" s="12">
        <v>3.2033860058583561</v>
      </c>
      <c r="I326" s="31">
        <v>15041.546022966406</v>
      </c>
    </row>
    <row r="327" spans="1:9">
      <c r="A327" s="17">
        <v>325</v>
      </c>
      <c r="B327" s="2">
        <v>297</v>
      </c>
      <c r="C327" s="2">
        <v>329</v>
      </c>
      <c r="D327" s="2">
        <v>1022</v>
      </c>
      <c r="E327" s="9">
        <v>83</v>
      </c>
      <c r="F327" s="5">
        <v>6238.8945345214388</v>
      </c>
      <c r="G327" s="12">
        <v>3.1817255780764386E-2</v>
      </c>
      <c r="H327" s="12">
        <v>2.6900770339545308</v>
      </c>
      <c r="I327" s="31">
        <v>16872.036286421837</v>
      </c>
    </row>
    <row r="328" spans="1:9">
      <c r="A328" s="17">
        <v>326</v>
      </c>
      <c r="B328" s="2">
        <v>155</v>
      </c>
      <c r="C328" s="2">
        <v>147</v>
      </c>
      <c r="D328" s="2">
        <v>1022</v>
      </c>
      <c r="E328" s="9">
        <v>66</v>
      </c>
      <c r="F328" s="5">
        <v>3563.271504462552</v>
      </c>
      <c r="G328" s="12">
        <v>5.6970752957453075E-2</v>
      </c>
      <c r="H328" s="12">
        <v>2.747685348602936</v>
      </c>
      <c r="I328" s="31">
        <v>16682.137518709544</v>
      </c>
    </row>
    <row r="329" spans="1:9">
      <c r="A329" s="17">
        <v>327</v>
      </c>
      <c r="B329" s="2">
        <v>31</v>
      </c>
      <c r="C329" s="2">
        <v>40</v>
      </c>
      <c r="D329" s="2">
        <v>1001</v>
      </c>
      <c r="E329" s="9">
        <v>97</v>
      </c>
      <c r="F329" s="5">
        <v>8226.9438562611467</v>
      </c>
      <c r="G329" s="12">
        <v>7.2926639572755081E-2</v>
      </c>
      <c r="H329" s="12">
        <v>3.1273343322561051</v>
      </c>
      <c r="I329" s="31">
        <v>14932.633373954934</v>
      </c>
    </row>
    <row r="330" spans="1:9">
      <c r="A330" s="17">
        <v>328</v>
      </c>
      <c r="B330" s="2">
        <v>101</v>
      </c>
      <c r="C330" s="2">
        <v>155</v>
      </c>
      <c r="D330" s="2">
        <v>1004</v>
      </c>
      <c r="E330" s="9">
        <v>50</v>
      </c>
      <c r="F330" s="5">
        <v>5531.135521905032</v>
      </c>
      <c r="G330" s="12">
        <v>5.8238947508356065E-2</v>
      </c>
      <c r="H330" s="12">
        <v>2.1096422257266387</v>
      </c>
      <c r="I330" s="31">
        <v>15773.141859498912</v>
      </c>
    </row>
    <row r="331" spans="1:9">
      <c r="A331" s="17">
        <v>329</v>
      </c>
      <c r="B331" s="2">
        <v>158</v>
      </c>
      <c r="C331" s="2">
        <v>202</v>
      </c>
      <c r="D331" s="2">
        <v>1005</v>
      </c>
      <c r="E331" s="9">
        <v>43</v>
      </c>
      <c r="F331" s="5">
        <v>6881.5277718290026</v>
      </c>
      <c r="G331" s="12">
        <v>7.5337542480041153E-2</v>
      </c>
      <c r="H331" s="12">
        <v>3.1651363909838257</v>
      </c>
      <c r="I331" s="31">
        <v>16254.762891348411</v>
      </c>
    </row>
    <row r="332" spans="1:9">
      <c r="A332" s="17">
        <v>330</v>
      </c>
      <c r="B332" s="2">
        <v>312</v>
      </c>
      <c r="C332" s="2">
        <v>29</v>
      </c>
      <c r="D332" s="2">
        <v>1008</v>
      </c>
      <c r="E332" s="9">
        <v>53</v>
      </c>
      <c r="F332" s="5">
        <v>1204.0161540603158</v>
      </c>
      <c r="G332" s="12">
        <v>8.8965304489532715E-2</v>
      </c>
      <c r="H332" s="12">
        <v>2.7221126983726482</v>
      </c>
      <c r="I332" s="31">
        <v>14998.433571399266</v>
      </c>
    </row>
    <row r="333" spans="1:9">
      <c r="A333" s="17">
        <v>331</v>
      </c>
      <c r="B333" s="2">
        <v>113</v>
      </c>
      <c r="C333" s="2">
        <v>132</v>
      </c>
      <c r="D333" s="2">
        <v>1017</v>
      </c>
      <c r="E333" s="9">
        <v>49</v>
      </c>
      <c r="F333" s="5">
        <v>1717.2816546548866</v>
      </c>
      <c r="G333" s="12">
        <v>4.481623177969013E-2</v>
      </c>
      <c r="H333" s="12">
        <v>5.408742940638767</v>
      </c>
      <c r="I333" s="31">
        <v>15612.493654206821</v>
      </c>
    </row>
    <row r="334" spans="1:9">
      <c r="A334" s="17">
        <v>332</v>
      </c>
      <c r="B334" s="2">
        <v>20</v>
      </c>
      <c r="C334" s="2">
        <v>123</v>
      </c>
      <c r="D334" s="2">
        <v>1021</v>
      </c>
      <c r="E334" s="9">
        <v>58</v>
      </c>
      <c r="F334" s="5">
        <v>3461.7669435505895</v>
      </c>
      <c r="G334" s="12">
        <v>7.7107899582982642E-2</v>
      </c>
      <c r="H334" s="12">
        <v>1.8116431603595449</v>
      </c>
      <c r="I334" s="31">
        <v>16032.566136963771</v>
      </c>
    </row>
    <row r="335" spans="1:9">
      <c r="A335" s="17">
        <v>333</v>
      </c>
      <c r="B335" s="2">
        <v>79</v>
      </c>
      <c r="C335" s="2">
        <v>257</v>
      </c>
      <c r="D335" s="2">
        <v>1016</v>
      </c>
      <c r="E335" s="9">
        <v>44</v>
      </c>
      <c r="F335" s="5">
        <v>2994.0408968509082</v>
      </c>
      <c r="G335" s="12">
        <v>5.9269671655668932E-2</v>
      </c>
      <c r="H335" s="12">
        <v>2.1265229310153519</v>
      </c>
      <c r="I335" s="31">
        <v>17184.532440277882</v>
      </c>
    </row>
    <row r="336" spans="1:9">
      <c r="A336" s="17">
        <v>334</v>
      </c>
      <c r="B336" s="2">
        <v>73</v>
      </c>
      <c r="C336" s="2">
        <v>109</v>
      </c>
      <c r="D336" s="2">
        <v>1020</v>
      </c>
      <c r="E336" s="9">
        <v>71</v>
      </c>
      <c r="F336" s="5">
        <v>6316.8544605600409</v>
      </c>
      <c r="G336" s="12">
        <v>8.6736799371350204E-2</v>
      </c>
      <c r="H336" s="12">
        <v>2.3052103547706158</v>
      </c>
      <c r="I336" s="31">
        <v>15672.273755153048</v>
      </c>
    </row>
    <row r="337" spans="1:9">
      <c r="A337" s="17">
        <v>335</v>
      </c>
      <c r="B337" s="2">
        <v>43</v>
      </c>
      <c r="C337" s="2">
        <v>269</v>
      </c>
      <c r="D337" s="2">
        <v>1021</v>
      </c>
      <c r="E337" s="9">
        <v>92</v>
      </c>
      <c r="F337" s="5">
        <v>3770.4902612353699</v>
      </c>
      <c r="G337" s="12">
        <v>4.0278499995905437E-2</v>
      </c>
      <c r="H337" s="12">
        <v>3.2817235029448786</v>
      </c>
      <c r="I337" s="31">
        <v>16352.692115451111</v>
      </c>
    </row>
    <row r="338" spans="1:9">
      <c r="A338" s="17">
        <v>336</v>
      </c>
      <c r="B338" s="2">
        <v>198</v>
      </c>
      <c r="C338" s="2">
        <v>308</v>
      </c>
      <c r="D338" s="2">
        <v>1006</v>
      </c>
      <c r="E338" s="9">
        <v>47</v>
      </c>
      <c r="F338" s="5">
        <v>5164.2438454786834</v>
      </c>
      <c r="G338" s="12">
        <v>7.502409316191333E-2</v>
      </c>
      <c r="H338" s="12">
        <v>3.1708812924841188</v>
      </c>
      <c r="I338" s="31">
        <v>16724.508594215342</v>
      </c>
    </row>
    <row r="339" spans="1:9">
      <c r="A339" s="17">
        <v>337</v>
      </c>
      <c r="B339" s="2">
        <v>58</v>
      </c>
      <c r="C339" s="2">
        <v>167</v>
      </c>
      <c r="D339" s="2">
        <v>1019</v>
      </c>
      <c r="E339" s="9">
        <v>43</v>
      </c>
      <c r="F339" s="5">
        <v>4366.0907761313474</v>
      </c>
      <c r="G339" s="12">
        <v>6.5345831276202804E-2</v>
      </c>
      <c r="H339" s="12">
        <v>4.5314722073123264</v>
      </c>
      <c r="I339" s="31">
        <v>15974.659956172593</v>
      </c>
    </row>
    <row r="340" spans="1:9">
      <c r="A340" s="17">
        <v>338</v>
      </c>
      <c r="B340" s="2">
        <v>218</v>
      </c>
      <c r="C340" s="2">
        <v>163</v>
      </c>
      <c r="D340" s="2">
        <v>1004</v>
      </c>
      <c r="E340" s="9">
        <v>26</v>
      </c>
      <c r="F340" s="5">
        <v>3626.1772732809341</v>
      </c>
      <c r="G340" s="12">
        <v>8.8395075476795315E-2</v>
      </c>
      <c r="H340" s="12">
        <v>2.3727243259451645</v>
      </c>
      <c r="I340" s="31">
        <v>15216.311093426531</v>
      </c>
    </row>
    <row r="341" spans="1:9">
      <c r="A341" s="17">
        <v>339</v>
      </c>
      <c r="B341" s="2">
        <v>9</v>
      </c>
      <c r="C341" s="2">
        <v>269</v>
      </c>
      <c r="D341" s="2">
        <v>1023</v>
      </c>
      <c r="E341" s="9">
        <v>53</v>
      </c>
      <c r="F341" s="5">
        <v>6055.0193554303924</v>
      </c>
      <c r="G341" s="12">
        <v>4.0789930039749012E-2</v>
      </c>
      <c r="H341" s="12">
        <v>2.1249754487450265</v>
      </c>
      <c r="I341" s="31">
        <v>16705.363888631302</v>
      </c>
    </row>
    <row r="342" spans="1:9">
      <c r="A342" s="17">
        <v>340</v>
      </c>
      <c r="B342" s="2">
        <v>185</v>
      </c>
      <c r="C342" s="2">
        <v>310</v>
      </c>
      <c r="D342" s="2">
        <v>1011</v>
      </c>
      <c r="E342" s="9">
        <v>29</v>
      </c>
      <c r="F342" s="5">
        <v>5976.3138423063147</v>
      </c>
      <c r="G342" s="12">
        <v>4.4442192906784472E-2</v>
      </c>
      <c r="H342" s="12">
        <v>4.3049531685789404</v>
      </c>
      <c r="I342" s="31">
        <v>14785.140497751319</v>
      </c>
    </row>
    <row r="343" spans="1:9">
      <c r="A343" s="17">
        <v>341</v>
      </c>
      <c r="B343" s="2">
        <v>349</v>
      </c>
      <c r="C343" s="2">
        <v>221</v>
      </c>
      <c r="D343" s="2">
        <v>1002</v>
      </c>
      <c r="E343" s="9">
        <v>89</v>
      </c>
      <c r="F343" s="5">
        <v>8568.2384389833314</v>
      </c>
      <c r="G343" s="12">
        <v>9.7321097714369531E-2</v>
      </c>
      <c r="H343" s="12">
        <v>1.6226404524183455</v>
      </c>
      <c r="I343" s="31">
        <v>15319.662397977856</v>
      </c>
    </row>
    <row r="344" spans="1:9">
      <c r="A344" s="17">
        <v>342</v>
      </c>
      <c r="B344" s="2">
        <v>2</v>
      </c>
      <c r="C344" s="2">
        <v>6</v>
      </c>
      <c r="D344" s="2">
        <v>1006</v>
      </c>
      <c r="E344" s="9">
        <v>17</v>
      </c>
      <c r="F344" s="5">
        <v>4733.746888754883</v>
      </c>
      <c r="G344" s="12">
        <v>9.366447936815675E-2</v>
      </c>
      <c r="H344" s="12">
        <v>3.8997656703337999</v>
      </c>
      <c r="I344" s="31">
        <v>15853.082474113227</v>
      </c>
    </row>
    <row r="345" spans="1:9">
      <c r="A345" s="17">
        <v>343</v>
      </c>
      <c r="B345" s="2">
        <v>282</v>
      </c>
      <c r="C345" s="2">
        <v>190</v>
      </c>
      <c r="D345" s="2">
        <v>1014</v>
      </c>
      <c r="E345" s="9">
        <v>93</v>
      </c>
      <c r="F345" s="5">
        <v>3823.3054722508832</v>
      </c>
      <c r="G345" s="12">
        <v>8.2445031175551409E-2</v>
      </c>
      <c r="H345" s="12">
        <v>2.0270542095283237</v>
      </c>
      <c r="I345" s="31">
        <v>14146.369244899153</v>
      </c>
    </row>
    <row r="346" spans="1:9">
      <c r="A346" s="17">
        <v>344</v>
      </c>
      <c r="B346" s="2">
        <v>219</v>
      </c>
      <c r="C346" s="2">
        <v>225</v>
      </c>
      <c r="D346" s="2">
        <v>1017</v>
      </c>
      <c r="E346" s="9">
        <v>43</v>
      </c>
      <c r="F346" s="5">
        <v>5128.5059296737536</v>
      </c>
      <c r="G346" s="12">
        <v>6.1039230254094579E-2</v>
      </c>
      <c r="H346" s="12">
        <v>2.5349823934072266</v>
      </c>
      <c r="I346" s="31">
        <v>16281.221005537565</v>
      </c>
    </row>
    <row r="347" spans="1:9">
      <c r="A347" s="17">
        <v>345</v>
      </c>
      <c r="B347" s="2">
        <v>247</v>
      </c>
      <c r="C347" s="2">
        <v>13</v>
      </c>
      <c r="D347" s="2">
        <v>1014</v>
      </c>
      <c r="E347" s="9">
        <v>71</v>
      </c>
      <c r="F347" s="5">
        <v>4187.181290803398</v>
      </c>
      <c r="G347" s="12">
        <v>6.3357385652010267E-2</v>
      </c>
      <c r="H347" s="12">
        <v>1.4771720618761539</v>
      </c>
      <c r="I347" s="31">
        <v>16174.897028740281</v>
      </c>
    </row>
    <row r="348" spans="1:9">
      <c r="A348" s="17">
        <v>346</v>
      </c>
      <c r="B348" s="2">
        <v>143</v>
      </c>
      <c r="C348" s="2">
        <v>308</v>
      </c>
      <c r="D348" s="2">
        <v>1023</v>
      </c>
      <c r="E348" s="9">
        <v>65</v>
      </c>
      <c r="F348" s="5">
        <v>4732.8714522331729</v>
      </c>
      <c r="G348" s="12">
        <v>1.6972040552785617E-2</v>
      </c>
      <c r="H348" s="12">
        <v>1.1920813249241113</v>
      </c>
      <c r="I348" s="31">
        <v>15924.88433605414</v>
      </c>
    </row>
    <row r="349" spans="1:9">
      <c r="A349" s="17">
        <v>347</v>
      </c>
      <c r="B349" s="2">
        <v>106</v>
      </c>
      <c r="C349" s="2">
        <v>37</v>
      </c>
      <c r="D349" s="2">
        <v>1018</v>
      </c>
      <c r="E349" s="9">
        <v>68</v>
      </c>
      <c r="F349" s="5">
        <v>7185.7189253200495</v>
      </c>
      <c r="G349" s="12">
        <v>0.12280050571905449</v>
      </c>
      <c r="H349" s="12">
        <v>4.5838590335812839</v>
      </c>
      <c r="I349" s="31">
        <v>15095.537451433676</v>
      </c>
    </row>
    <row r="350" spans="1:9">
      <c r="A350" s="17">
        <v>348</v>
      </c>
      <c r="B350" s="2">
        <v>245</v>
      </c>
      <c r="C350" s="2">
        <v>339</v>
      </c>
      <c r="D350" s="2">
        <v>1021</v>
      </c>
      <c r="E350" s="9">
        <v>68</v>
      </c>
      <c r="F350" s="5">
        <v>4354.9425737268912</v>
      </c>
      <c r="G350" s="12">
        <v>3.6805634476762494E-2</v>
      </c>
      <c r="H350" s="12">
        <v>3.6355811154259574</v>
      </c>
      <c r="I350" s="31">
        <v>16459.839388316515</v>
      </c>
    </row>
    <row r="351" spans="1:9">
      <c r="A351" s="17">
        <v>349</v>
      </c>
      <c r="B351" s="2">
        <v>22</v>
      </c>
      <c r="C351" s="2">
        <v>231</v>
      </c>
      <c r="D351" s="2">
        <v>1009</v>
      </c>
      <c r="E351" s="9">
        <v>16</v>
      </c>
      <c r="F351" s="5">
        <v>3866.2479374210825</v>
      </c>
      <c r="G351" s="12">
        <v>9.550181406200281E-2</v>
      </c>
      <c r="H351" s="12">
        <v>2.7061612410158706</v>
      </c>
      <c r="I351" s="31">
        <v>17402.685418327939</v>
      </c>
    </row>
    <row r="352" spans="1:9">
      <c r="A352" s="17">
        <v>350</v>
      </c>
      <c r="B352" s="2">
        <v>135</v>
      </c>
      <c r="C352" s="2">
        <v>203</v>
      </c>
      <c r="D352" s="2">
        <v>1002</v>
      </c>
      <c r="E352" s="9">
        <v>78</v>
      </c>
      <c r="F352" s="5">
        <v>1068.537116461318</v>
      </c>
      <c r="G352" s="12">
        <v>8.168272553109418E-2</v>
      </c>
      <c r="H352" s="12">
        <v>2.8326805594439795</v>
      </c>
      <c r="I352" s="31">
        <v>15649.044313231036</v>
      </c>
    </row>
    <row r="353" spans="1:9">
      <c r="A353" s="17">
        <v>351</v>
      </c>
      <c r="B353" s="2">
        <v>160</v>
      </c>
      <c r="C353" s="2">
        <v>10</v>
      </c>
      <c r="D353" s="2">
        <v>1017</v>
      </c>
      <c r="E353" s="9">
        <v>57</v>
      </c>
      <c r="F353" s="5">
        <v>2570.0782988537476</v>
      </c>
      <c r="G353" s="12">
        <v>3.2736552252457474E-2</v>
      </c>
      <c r="H353" s="12">
        <v>2.5473723658330347</v>
      </c>
      <c r="I353" s="31">
        <v>15146.903343683709</v>
      </c>
    </row>
    <row r="354" spans="1:9">
      <c r="A354" s="17">
        <v>352</v>
      </c>
      <c r="B354" s="2">
        <v>109</v>
      </c>
      <c r="C354" s="2">
        <v>60</v>
      </c>
      <c r="D354" s="2">
        <v>1005</v>
      </c>
      <c r="E354" s="9">
        <v>30</v>
      </c>
      <c r="F354" s="5">
        <v>3611.9482882845268</v>
      </c>
      <c r="G354" s="12">
        <v>5.5546293492510446E-2</v>
      </c>
      <c r="H354" s="12">
        <v>1.5430917723130553</v>
      </c>
      <c r="I354" s="31">
        <v>16282.413965636271</v>
      </c>
    </row>
    <row r="355" spans="1:9">
      <c r="A355" s="17">
        <v>353</v>
      </c>
      <c r="B355" s="2">
        <v>79</v>
      </c>
      <c r="C355" s="2">
        <v>233</v>
      </c>
      <c r="D355" s="2">
        <v>1002</v>
      </c>
      <c r="E355" s="9">
        <v>46</v>
      </c>
      <c r="F355" s="5">
        <v>4641.8260539753255</v>
      </c>
      <c r="G355" s="12">
        <v>7.6512070031525214E-2</v>
      </c>
      <c r="H355" s="12">
        <v>2.7052939429460641</v>
      </c>
      <c r="I355" s="31">
        <v>15719.383903050959</v>
      </c>
    </row>
    <row r="356" spans="1:9">
      <c r="A356" s="17">
        <v>354</v>
      </c>
      <c r="B356" s="2">
        <v>36</v>
      </c>
      <c r="C356" s="2">
        <v>108</v>
      </c>
      <c r="D356" s="2">
        <v>1016</v>
      </c>
      <c r="E356" s="9">
        <v>58</v>
      </c>
      <c r="F356" s="5">
        <v>4028.5995252833864</v>
      </c>
      <c r="G356" s="12">
        <v>4.9500501240685113E-2</v>
      </c>
      <c r="H356" s="12">
        <v>3.8188237504720566</v>
      </c>
      <c r="I356" s="31">
        <v>16388.766614435928</v>
      </c>
    </row>
    <row r="357" spans="1:9">
      <c r="A357" s="17">
        <v>355</v>
      </c>
      <c r="B357" s="2">
        <v>57</v>
      </c>
      <c r="C357" s="2">
        <v>274</v>
      </c>
      <c r="D357" s="2">
        <v>1018</v>
      </c>
      <c r="E357" s="9">
        <v>66</v>
      </c>
      <c r="F357" s="5">
        <v>3140.6618538171251</v>
      </c>
      <c r="G357" s="12">
        <v>6.6669654975042791E-2</v>
      </c>
      <c r="H357" s="12">
        <v>2.9408475472870852</v>
      </c>
      <c r="I357" s="31">
        <v>16628.30788225566</v>
      </c>
    </row>
    <row r="358" spans="1:9">
      <c r="A358" s="17">
        <v>356</v>
      </c>
      <c r="B358" s="2">
        <v>345</v>
      </c>
      <c r="C358" s="2">
        <v>243</v>
      </c>
      <c r="D358" s="2">
        <v>1016</v>
      </c>
      <c r="E358" s="9">
        <v>46</v>
      </c>
      <c r="F358" s="5">
        <v>180.76908700045988</v>
      </c>
      <c r="G358" s="12">
        <v>7.8990676442912078E-2</v>
      </c>
      <c r="H358" s="12">
        <v>1.7940114710278796</v>
      </c>
      <c r="I358" s="31">
        <v>15613.1520862613</v>
      </c>
    </row>
    <row r="359" spans="1:9">
      <c r="A359" s="17">
        <v>357</v>
      </c>
      <c r="B359" s="2">
        <v>42</v>
      </c>
      <c r="C359" s="2">
        <v>106</v>
      </c>
      <c r="D359" s="2">
        <v>1018</v>
      </c>
      <c r="E359" s="9">
        <v>26</v>
      </c>
      <c r="F359" s="5">
        <v>2799.065685307557</v>
      </c>
      <c r="G359" s="12">
        <v>3.3102799657057036E-2</v>
      </c>
      <c r="H359" s="12">
        <v>3.0416741086093499</v>
      </c>
      <c r="I359" s="31">
        <v>16065.75295570966</v>
      </c>
    </row>
    <row r="360" spans="1:9">
      <c r="A360" s="17">
        <v>358</v>
      </c>
      <c r="B360" s="2">
        <v>229</v>
      </c>
      <c r="C360" s="2">
        <v>201</v>
      </c>
      <c r="D360" s="2">
        <v>1011</v>
      </c>
      <c r="E360" s="9">
        <v>48</v>
      </c>
      <c r="F360" s="5">
        <v>5172.8348517276181</v>
      </c>
      <c r="G360" s="12">
        <v>8.8160557120203153E-2</v>
      </c>
      <c r="H360" s="12">
        <v>3.4821704997022427</v>
      </c>
      <c r="I360" s="31">
        <v>15319.662397977856</v>
      </c>
    </row>
    <row r="361" spans="1:9">
      <c r="A361" s="18">
        <v>359</v>
      </c>
      <c r="B361" s="19">
        <v>324</v>
      </c>
      <c r="C361" s="19">
        <v>170</v>
      </c>
      <c r="D361" s="19">
        <v>1001</v>
      </c>
      <c r="E361" s="36">
        <v>60</v>
      </c>
      <c r="F361" s="22">
        <v>4110.9324452390474</v>
      </c>
      <c r="G361" s="34">
        <v>8.8789923861325948E-2</v>
      </c>
      <c r="H361" s="34">
        <v>4.1460429222376476</v>
      </c>
      <c r="I361" s="33">
        <v>15931.637616612908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2"/>
  <sheetViews>
    <sheetView workbookViewId="0">
      <selection activeCell="H2" sqref="H2"/>
    </sheetView>
  </sheetViews>
  <sheetFormatPr defaultRowHeight="14.4"/>
  <cols>
    <col min="1" max="1" width="14.109375" bestFit="1" customWidth="1"/>
    <col min="2" max="2" width="8.88671875" bestFit="1" customWidth="1"/>
    <col min="3" max="3" width="15.88671875" bestFit="1" customWidth="1"/>
    <col min="4" max="4" width="23.6640625" bestFit="1" customWidth="1"/>
    <col min="5" max="5" width="10" bestFit="1" customWidth="1"/>
    <col min="6" max="6" width="18" bestFit="1" customWidth="1"/>
    <col min="7" max="7" width="16.21875" bestFit="1" customWidth="1"/>
    <col min="8" max="8" width="11" bestFit="1" customWidth="1"/>
  </cols>
  <sheetData>
    <row r="2" spans="1:8" ht="17.399999999999999">
      <c r="A2" s="49" t="s">
        <v>447</v>
      </c>
      <c r="B2" s="49" t="s">
        <v>448</v>
      </c>
      <c r="C2" s="49" t="s">
        <v>449</v>
      </c>
      <c r="D2" s="49" t="s">
        <v>450</v>
      </c>
      <c r="E2" s="49" t="s">
        <v>451</v>
      </c>
      <c r="F2" s="49" t="s">
        <v>452</v>
      </c>
      <c r="G2" s="49" t="s">
        <v>453</v>
      </c>
      <c r="H2" s="49" t="s">
        <v>454</v>
      </c>
    </row>
    <row r="3" spans="1:8">
      <c r="A3" s="37">
        <v>100</v>
      </c>
      <c r="B3" s="6" t="s">
        <v>472</v>
      </c>
      <c r="C3" s="6" t="s">
        <v>483</v>
      </c>
      <c r="D3" s="2" t="s">
        <v>427</v>
      </c>
      <c r="E3" s="6" t="s">
        <v>633</v>
      </c>
      <c r="F3" s="6" t="s">
        <v>504</v>
      </c>
      <c r="G3" s="6" t="s">
        <v>493</v>
      </c>
      <c r="H3" s="20" t="s">
        <v>1</v>
      </c>
    </row>
    <row r="4" spans="1:8">
      <c r="A4" s="37">
        <v>101</v>
      </c>
      <c r="B4" s="6" t="s">
        <v>473</v>
      </c>
      <c r="C4" s="6" t="s">
        <v>484</v>
      </c>
      <c r="D4" s="2" t="s">
        <v>632</v>
      </c>
      <c r="E4" s="6" t="s">
        <v>470</v>
      </c>
      <c r="F4" s="6" t="s">
        <v>504</v>
      </c>
      <c r="G4" s="6" t="s">
        <v>494</v>
      </c>
      <c r="H4" s="20" t="s">
        <v>1</v>
      </c>
    </row>
    <row r="5" spans="1:8">
      <c r="A5" s="37">
        <v>102</v>
      </c>
      <c r="B5" s="6" t="s">
        <v>474</v>
      </c>
      <c r="C5" s="6" t="s">
        <v>485</v>
      </c>
      <c r="D5" s="2" t="s">
        <v>21</v>
      </c>
      <c r="E5" s="6" t="s">
        <v>470</v>
      </c>
      <c r="F5" s="6" t="s">
        <v>504</v>
      </c>
      <c r="G5" s="6" t="s">
        <v>495</v>
      </c>
      <c r="H5" s="20" t="s">
        <v>2</v>
      </c>
    </row>
    <row r="6" spans="1:8">
      <c r="A6" s="37">
        <v>103</v>
      </c>
      <c r="B6" s="6" t="s">
        <v>475</v>
      </c>
      <c r="C6" s="6" t="s">
        <v>486</v>
      </c>
      <c r="D6" s="2" t="s">
        <v>427</v>
      </c>
      <c r="E6" s="6" t="s">
        <v>470</v>
      </c>
      <c r="F6" s="6" t="s">
        <v>504</v>
      </c>
      <c r="G6" s="6" t="s">
        <v>496</v>
      </c>
      <c r="H6" s="20" t="s">
        <v>0</v>
      </c>
    </row>
    <row r="7" spans="1:8">
      <c r="A7" s="37">
        <v>104</v>
      </c>
      <c r="B7" s="6" t="s">
        <v>476</v>
      </c>
      <c r="C7" s="6" t="s">
        <v>497</v>
      </c>
      <c r="D7" s="2" t="s">
        <v>464</v>
      </c>
      <c r="E7" s="6" t="s">
        <v>470</v>
      </c>
      <c r="F7" s="6" t="s">
        <v>504</v>
      </c>
      <c r="G7" s="6" t="s">
        <v>493</v>
      </c>
      <c r="H7" s="20" t="s">
        <v>2</v>
      </c>
    </row>
    <row r="8" spans="1:8">
      <c r="A8" s="37">
        <v>105</v>
      </c>
      <c r="B8" s="6" t="s">
        <v>477</v>
      </c>
      <c r="C8" s="6" t="s">
        <v>498</v>
      </c>
      <c r="D8" s="2" t="s">
        <v>22</v>
      </c>
      <c r="E8" s="6" t="s">
        <v>470</v>
      </c>
      <c r="F8" s="6" t="s">
        <v>504</v>
      </c>
      <c r="G8" s="6" t="s">
        <v>494</v>
      </c>
      <c r="H8" s="20" t="s">
        <v>0</v>
      </c>
    </row>
    <row r="9" spans="1:8">
      <c r="A9" s="37">
        <v>106</v>
      </c>
      <c r="B9" s="6" t="s">
        <v>478</v>
      </c>
      <c r="C9" s="6" t="s">
        <v>499</v>
      </c>
      <c r="D9" s="2" t="s">
        <v>427</v>
      </c>
      <c r="E9" s="6" t="s">
        <v>633</v>
      </c>
      <c r="F9" s="6" t="s">
        <v>504</v>
      </c>
      <c r="G9" s="6" t="s">
        <v>495</v>
      </c>
      <c r="H9" s="20" t="s">
        <v>0</v>
      </c>
    </row>
    <row r="10" spans="1:8">
      <c r="A10" s="37">
        <v>107</v>
      </c>
      <c r="B10" s="6" t="s">
        <v>479</v>
      </c>
      <c r="C10" s="6" t="s">
        <v>500</v>
      </c>
      <c r="D10" s="2" t="s">
        <v>427</v>
      </c>
      <c r="E10" s="6" t="s">
        <v>633</v>
      </c>
      <c r="F10" s="6" t="s">
        <v>504</v>
      </c>
      <c r="G10" s="6" t="s">
        <v>496</v>
      </c>
      <c r="H10" s="20" t="s">
        <v>1</v>
      </c>
    </row>
    <row r="11" spans="1:8">
      <c r="A11" s="37">
        <v>108</v>
      </c>
      <c r="B11" s="6" t="s">
        <v>480</v>
      </c>
      <c r="C11" s="6" t="s">
        <v>501</v>
      </c>
      <c r="D11" s="2" t="s">
        <v>456</v>
      </c>
      <c r="E11" s="6" t="s">
        <v>470</v>
      </c>
      <c r="F11" s="6" t="s">
        <v>504</v>
      </c>
      <c r="G11" s="6" t="s">
        <v>493</v>
      </c>
      <c r="H11" s="20" t="s">
        <v>0</v>
      </c>
    </row>
    <row r="12" spans="1:8">
      <c r="A12" s="37">
        <v>109</v>
      </c>
      <c r="B12" s="6" t="s">
        <v>481</v>
      </c>
      <c r="C12" s="6" t="s">
        <v>502</v>
      </c>
      <c r="D12" s="2" t="s">
        <v>460</v>
      </c>
      <c r="E12" s="6" t="s">
        <v>470</v>
      </c>
      <c r="F12" s="6" t="s">
        <v>504</v>
      </c>
      <c r="G12" s="6" t="s">
        <v>494</v>
      </c>
      <c r="H12" s="20" t="s">
        <v>2</v>
      </c>
    </row>
    <row r="13" spans="1:8">
      <c r="A13" s="37">
        <v>110</v>
      </c>
      <c r="B13" s="6" t="s">
        <v>482</v>
      </c>
      <c r="C13" s="6" t="s">
        <v>503</v>
      </c>
      <c r="D13" s="2" t="s">
        <v>20</v>
      </c>
      <c r="E13" s="6" t="s">
        <v>470</v>
      </c>
      <c r="F13" s="6" t="s">
        <v>504</v>
      </c>
      <c r="G13" s="6" t="s">
        <v>495</v>
      </c>
      <c r="H13" s="20" t="s">
        <v>1</v>
      </c>
    </row>
    <row r="14" spans="1:8">
      <c r="A14" s="37">
        <v>111</v>
      </c>
      <c r="B14" s="6" t="s">
        <v>591</v>
      </c>
      <c r="C14" s="6" t="s">
        <v>590</v>
      </c>
      <c r="D14" s="2" t="s">
        <v>456</v>
      </c>
      <c r="E14" s="6" t="s">
        <v>633</v>
      </c>
      <c r="F14" s="6" t="s">
        <v>504</v>
      </c>
      <c r="G14" s="6" t="s">
        <v>496</v>
      </c>
      <c r="H14" s="20" t="s">
        <v>2</v>
      </c>
    </row>
    <row r="15" spans="1:8">
      <c r="A15" s="37">
        <v>112</v>
      </c>
      <c r="B15" s="6" t="s">
        <v>592</v>
      </c>
      <c r="C15" s="6" t="s">
        <v>593</v>
      </c>
      <c r="D15" s="2" t="s">
        <v>456</v>
      </c>
      <c r="E15" s="6" t="s">
        <v>633</v>
      </c>
      <c r="F15" s="6" t="s">
        <v>504</v>
      </c>
      <c r="G15" s="6" t="s">
        <v>493</v>
      </c>
      <c r="H15" s="20" t="s">
        <v>2</v>
      </c>
    </row>
    <row r="16" spans="1:8">
      <c r="A16" s="37">
        <v>113</v>
      </c>
      <c r="B16" s="6" t="s">
        <v>594</v>
      </c>
      <c r="C16" s="6" t="s">
        <v>595</v>
      </c>
      <c r="D16" s="2" t="s">
        <v>23</v>
      </c>
      <c r="E16" s="6" t="s">
        <v>470</v>
      </c>
      <c r="F16" s="6" t="s">
        <v>504</v>
      </c>
      <c r="G16" s="6" t="s">
        <v>494</v>
      </c>
      <c r="H16" s="20" t="s">
        <v>1</v>
      </c>
    </row>
    <row r="17" spans="1:8">
      <c r="A17" s="37">
        <v>114</v>
      </c>
      <c r="B17" s="6" t="s">
        <v>596</v>
      </c>
      <c r="C17" s="6" t="s">
        <v>597</v>
      </c>
      <c r="D17" s="2" t="s">
        <v>24</v>
      </c>
      <c r="E17" s="6" t="s">
        <v>470</v>
      </c>
      <c r="F17" s="6" t="s">
        <v>504</v>
      </c>
      <c r="G17" s="6" t="s">
        <v>495</v>
      </c>
      <c r="H17" s="20" t="s">
        <v>2</v>
      </c>
    </row>
    <row r="18" spans="1:8">
      <c r="A18" s="37">
        <v>115</v>
      </c>
      <c r="B18" s="6" t="s">
        <v>598</v>
      </c>
      <c r="C18" s="6" t="s">
        <v>502</v>
      </c>
      <c r="D18" s="2" t="s">
        <v>456</v>
      </c>
      <c r="E18" s="6" t="s">
        <v>633</v>
      </c>
      <c r="F18" s="6" t="s">
        <v>504</v>
      </c>
      <c r="G18" s="6" t="s">
        <v>496</v>
      </c>
      <c r="H18" s="20" t="s">
        <v>2</v>
      </c>
    </row>
    <row r="19" spans="1:8">
      <c r="A19" s="37">
        <v>116</v>
      </c>
      <c r="B19" s="6" t="s">
        <v>600</v>
      </c>
      <c r="C19" s="6" t="s">
        <v>599</v>
      </c>
      <c r="D19" s="2" t="s">
        <v>437</v>
      </c>
      <c r="E19" s="6" t="s">
        <v>470</v>
      </c>
      <c r="F19" s="6" t="s">
        <v>504</v>
      </c>
      <c r="G19" s="6" t="s">
        <v>493</v>
      </c>
      <c r="H19" s="20" t="s">
        <v>2</v>
      </c>
    </row>
    <row r="20" spans="1:8">
      <c r="A20" s="37">
        <v>117</v>
      </c>
      <c r="B20" s="6" t="s">
        <v>601</v>
      </c>
      <c r="C20" s="6" t="s">
        <v>602</v>
      </c>
      <c r="D20" s="2" t="s">
        <v>20</v>
      </c>
      <c r="E20" s="6" t="s">
        <v>633</v>
      </c>
      <c r="F20" s="6" t="s">
        <v>504</v>
      </c>
      <c r="G20" s="6" t="s">
        <v>494</v>
      </c>
      <c r="H20" s="20" t="s">
        <v>1</v>
      </c>
    </row>
    <row r="21" spans="1:8">
      <c r="A21" s="37">
        <v>118</v>
      </c>
      <c r="B21" s="6" t="s">
        <v>603</v>
      </c>
      <c r="C21" s="6" t="s">
        <v>604</v>
      </c>
      <c r="D21" s="2" t="s">
        <v>61</v>
      </c>
      <c r="E21" s="6" t="s">
        <v>470</v>
      </c>
      <c r="F21" s="6" t="s">
        <v>504</v>
      </c>
      <c r="G21" s="6" t="s">
        <v>495</v>
      </c>
      <c r="H21" s="20" t="s">
        <v>0</v>
      </c>
    </row>
    <row r="22" spans="1:8">
      <c r="A22" s="37">
        <v>119</v>
      </c>
      <c r="B22" s="6" t="s">
        <v>605</v>
      </c>
      <c r="C22" s="6" t="s">
        <v>606</v>
      </c>
      <c r="D22" s="2" t="s">
        <v>431</v>
      </c>
      <c r="E22" s="6" t="s">
        <v>470</v>
      </c>
      <c r="F22" s="6" t="s">
        <v>504</v>
      </c>
      <c r="G22" s="6" t="s">
        <v>496</v>
      </c>
      <c r="H22" s="20" t="s">
        <v>1</v>
      </c>
    </row>
    <row r="23" spans="1:8">
      <c r="A23" s="37">
        <v>120</v>
      </c>
      <c r="B23" s="6" t="s">
        <v>607</v>
      </c>
      <c r="C23" s="6" t="s">
        <v>604</v>
      </c>
      <c r="D23" s="2" t="s">
        <v>20</v>
      </c>
      <c r="E23" s="6" t="s">
        <v>633</v>
      </c>
      <c r="F23" s="6" t="s">
        <v>504</v>
      </c>
      <c r="G23" s="6" t="s">
        <v>493</v>
      </c>
      <c r="H23" s="20" t="s">
        <v>1</v>
      </c>
    </row>
    <row r="24" spans="1:8">
      <c r="A24" s="37">
        <v>121</v>
      </c>
      <c r="B24" s="6" t="s">
        <v>608</v>
      </c>
      <c r="C24" s="6" t="s">
        <v>609</v>
      </c>
      <c r="D24" s="2" t="s">
        <v>22</v>
      </c>
      <c r="E24" s="6" t="s">
        <v>470</v>
      </c>
      <c r="F24" s="6" t="s">
        <v>504</v>
      </c>
      <c r="G24" s="6" t="s">
        <v>494</v>
      </c>
      <c r="H24" s="20" t="s">
        <v>2</v>
      </c>
    </row>
    <row r="25" spans="1:8">
      <c r="A25" s="37">
        <v>122</v>
      </c>
      <c r="B25" s="6" t="s">
        <v>610</v>
      </c>
      <c r="C25" s="6" t="s">
        <v>611</v>
      </c>
      <c r="D25" s="6" t="s">
        <v>468</v>
      </c>
      <c r="E25" s="6" t="s">
        <v>633</v>
      </c>
      <c r="F25" s="6" t="s">
        <v>504</v>
      </c>
      <c r="G25" s="6" t="s">
        <v>524</v>
      </c>
      <c r="H25" s="20" t="s">
        <v>2</v>
      </c>
    </row>
    <row r="26" spans="1:8">
      <c r="A26" s="37">
        <v>123</v>
      </c>
      <c r="B26" s="6" t="s">
        <v>612</v>
      </c>
      <c r="C26" s="6" t="s">
        <v>613</v>
      </c>
      <c r="D26" s="2" t="s">
        <v>459</v>
      </c>
      <c r="E26" s="6" t="s">
        <v>470</v>
      </c>
      <c r="F26" s="6" t="s">
        <v>504</v>
      </c>
      <c r="G26" s="6" t="s">
        <v>614</v>
      </c>
      <c r="H26" s="20" t="s">
        <v>1</v>
      </c>
    </row>
    <row r="27" spans="1:8">
      <c r="A27" s="37">
        <v>124</v>
      </c>
      <c r="B27" s="6" t="s">
        <v>615</v>
      </c>
      <c r="C27" s="6" t="s">
        <v>616</v>
      </c>
      <c r="D27" s="2" t="s">
        <v>462</v>
      </c>
      <c r="E27" s="6" t="s">
        <v>470</v>
      </c>
      <c r="F27" s="6" t="s">
        <v>625</v>
      </c>
      <c r="G27" s="6" t="s">
        <v>614</v>
      </c>
      <c r="H27" s="20" t="s">
        <v>1</v>
      </c>
    </row>
    <row r="28" spans="1:8">
      <c r="A28" s="37">
        <v>125</v>
      </c>
      <c r="B28" s="6" t="s">
        <v>617</v>
      </c>
      <c r="C28" s="6" t="s">
        <v>618</v>
      </c>
      <c r="D28" s="2" t="s">
        <v>455</v>
      </c>
      <c r="E28" s="6" t="s">
        <v>470</v>
      </c>
      <c r="F28" s="6" t="s">
        <v>626</v>
      </c>
      <c r="G28" s="6" t="s">
        <v>629</v>
      </c>
      <c r="H28" s="20" t="s">
        <v>1</v>
      </c>
    </row>
    <row r="29" spans="1:8">
      <c r="A29" s="37">
        <v>126</v>
      </c>
      <c r="B29" s="6" t="s">
        <v>619</v>
      </c>
      <c r="C29" s="6" t="s">
        <v>623</v>
      </c>
      <c r="D29" s="6" t="s">
        <v>468</v>
      </c>
      <c r="E29" s="6" t="s">
        <v>633</v>
      </c>
      <c r="F29" s="6" t="s">
        <v>627</v>
      </c>
      <c r="G29" s="6" t="s">
        <v>631</v>
      </c>
      <c r="H29" s="20" t="s">
        <v>2</v>
      </c>
    </row>
    <row r="30" spans="1:8">
      <c r="A30" s="37">
        <v>127</v>
      </c>
      <c r="B30" s="6" t="s">
        <v>620</v>
      </c>
      <c r="C30" s="6" t="s">
        <v>624</v>
      </c>
      <c r="D30" s="6" t="s">
        <v>468</v>
      </c>
      <c r="E30" s="6" t="s">
        <v>470</v>
      </c>
      <c r="F30" s="6" t="s">
        <v>628</v>
      </c>
      <c r="G30" s="6" t="s">
        <v>630</v>
      </c>
      <c r="H30" s="20" t="s">
        <v>1</v>
      </c>
    </row>
    <row r="31" spans="1:8">
      <c r="A31" s="37">
        <v>128</v>
      </c>
      <c r="B31" s="6" t="s">
        <v>621</v>
      </c>
      <c r="C31" s="6" t="s">
        <v>622</v>
      </c>
      <c r="D31" s="2" t="s">
        <v>455</v>
      </c>
      <c r="E31" s="6" t="s">
        <v>633</v>
      </c>
      <c r="F31" s="6" t="s">
        <v>634</v>
      </c>
      <c r="G31" s="6" t="s">
        <v>493</v>
      </c>
      <c r="H31" s="20" t="s">
        <v>2</v>
      </c>
    </row>
    <row r="32" spans="1:8">
      <c r="A32" s="37">
        <v>129</v>
      </c>
      <c r="B32" s="6" t="s">
        <v>635</v>
      </c>
      <c r="C32" s="6" t="s">
        <v>636</v>
      </c>
      <c r="D32" s="2" t="s">
        <v>460</v>
      </c>
      <c r="E32" s="6" t="s">
        <v>633</v>
      </c>
      <c r="F32" s="6" t="s">
        <v>959</v>
      </c>
      <c r="G32" s="6" t="s">
        <v>493</v>
      </c>
      <c r="H32" s="20" t="s">
        <v>1</v>
      </c>
    </row>
    <row r="33" spans="1:8">
      <c r="A33" s="37">
        <v>130</v>
      </c>
      <c r="B33" s="6" t="s">
        <v>638</v>
      </c>
      <c r="C33" s="6" t="s">
        <v>637</v>
      </c>
      <c r="D33" s="2" t="s">
        <v>459</v>
      </c>
      <c r="E33" s="6" t="s">
        <v>633</v>
      </c>
      <c r="F33" s="6" t="s">
        <v>960</v>
      </c>
      <c r="G33" s="6" t="s">
        <v>494</v>
      </c>
      <c r="H33" s="20" t="s">
        <v>1</v>
      </c>
    </row>
    <row r="34" spans="1:8">
      <c r="A34" s="37">
        <v>131</v>
      </c>
      <c r="B34" s="6" t="s">
        <v>608</v>
      </c>
      <c r="C34" s="6" t="s">
        <v>639</v>
      </c>
      <c r="D34" s="2" t="s">
        <v>464</v>
      </c>
      <c r="E34" s="6" t="s">
        <v>633</v>
      </c>
      <c r="F34" s="6" t="s">
        <v>961</v>
      </c>
      <c r="G34" s="6" t="s">
        <v>524</v>
      </c>
      <c r="H34" s="20" t="s">
        <v>1</v>
      </c>
    </row>
    <row r="35" spans="1:8">
      <c r="A35" s="37">
        <v>132</v>
      </c>
      <c r="B35" s="6" t="s">
        <v>640</v>
      </c>
      <c r="C35" s="6" t="s">
        <v>641</v>
      </c>
      <c r="D35" s="2" t="s">
        <v>464</v>
      </c>
      <c r="E35" s="6" t="s">
        <v>633</v>
      </c>
      <c r="F35" s="6" t="s">
        <v>962</v>
      </c>
      <c r="G35" s="6" t="s">
        <v>614</v>
      </c>
      <c r="H35" s="20" t="s">
        <v>1</v>
      </c>
    </row>
    <row r="36" spans="1:8">
      <c r="A36" s="37">
        <v>133</v>
      </c>
      <c r="B36" s="6" t="s">
        <v>642</v>
      </c>
      <c r="C36" s="6" t="s">
        <v>643</v>
      </c>
      <c r="D36" s="2" t="s">
        <v>464</v>
      </c>
      <c r="E36" s="6" t="s">
        <v>633</v>
      </c>
      <c r="F36" s="6" t="s">
        <v>963</v>
      </c>
      <c r="G36" s="6" t="s">
        <v>614</v>
      </c>
      <c r="H36" s="20" t="s">
        <v>2</v>
      </c>
    </row>
    <row r="37" spans="1:8">
      <c r="A37" s="37">
        <v>134</v>
      </c>
      <c r="B37" s="6" t="s">
        <v>644</v>
      </c>
      <c r="C37" s="6" t="s">
        <v>645</v>
      </c>
      <c r="D37" s="2" t="s">
        <v>462</v>
      </c>
      <c r="E37" s="6" t="s">
        <v>633</v>
      </c>
      <c r="F37" s="6" t="s">
        <v>964</v>
      </c>
      <c r="G37" s="6" t="s">
        <v>629</v>
      </c>
      <c r="H37" s="20" t="s">
        <v>1</v>
      </c>
    </row>
    <row r="38" spans="1:8">
      <c r="A38" s="37">
        <v>135</v>
      </c>
      <c r="B38" s="6" t="s">
        <v>973</v>
      </c>
      <c r="C38" s="6" t="s">
        <v>974</v>
      </c>
      <c r="D38" s="2" t="s">
        <v>462</v>
      </c>
      <c r="E38" s="6" t="s">
        <v>633</v>
      </c>
      <c r="F38" s="6" t="s">
        <v>965</v>
      </c>
      <c r="G38" s="6" t="s">
        <v>631</v>
      </c>
      <c r="H38" s="20" t="s">
        <v>1</v>
      </c>
    </row>
    <row r="39" spans="1:8">
      <c r="A39" s="37">
        <v>136</v>
      </c>
      <c r="B39" s="6" t="s">
        <v>975</v>
      </c>
      <c r="C39" s="6" t="s">
        <v>976</v>
      </c>
      <c r="D39" s="2" t="s">
        <v>437</v>
      </c>
      <c r="E39" s="6" t="s">
        <v>633</v>
      </c>
      <c r="F39" s="6" t="s">
        <v>966</v>
      </c>
      <c r="G39" s="6" t="s">
        <v>630</v>
      </c>
      <c r="H39" s="20" t="s">
        <v>0</v>
      </c>
    </row>
    <row r="40" spans="1:8">
      <c r="A40" s="37">
        <v>137</v>
      </c>
      <c r="B40" s="6" t="s">
        <v>977</v>
      </c>
      <c r="C40" s="6" t="s">
        <v>978</v>
      </c>
      <c r="D40" s="2" t="s">
        <v>61</v>
      </c>
      <c r="E40" s="6" t="s">
        <v>633</v>
      </c>
      <c r="F40" s="6" t="s">
        <v>967</v>
      </c>
      <c r="G40" s="6" t="s">
        <v>493</v>
      </c>
      <c r="H40" s="20" t="s">
        <v>0</v>
      </c>
    </row>
    <row r="41" spans="1:8">
      <c r="A41" s="37">
        <v>138</v>
      </c>
      <c r="B41" s="6" t="s">
        <v>619</v>
      </c>
      <c r="C41" s="6" t="s">
        <v>979</v>
      </c>
      <c r="D41" s="2" t="s">
        <v>61</v>
      </c>
      <c r="E41" s="6" t="s">
        <v>633</v>
      </c>
      <c r="F41" s="6" t="s">
        <v>968</v>
      </c>
      <c r="G41" s="6" t="s">
        <v>493</v>
      </c>
      <c r="H41" s="20" t="s">
        <v>1</v>
      </c>
    </row>
    <row r="42" spans="1:8">
      <c r="A42" s="38">
        <v>139</v>
      </c>
      <c r="B42" s="21" t="s">
        <v>980</v>
      </c>
      <c r="C42" s="21" t="s">
        <v>981</v>
      </c>
      <c r="D42" s="19" t="s">
        <v>61</v>
      </c>
      <c r="E42" s="21" t="s">
        <v>633</v>
      </c>
      <c r="F42" s="21" t="s">
        <v>969</v>
      </c>
      <c r="G42" s="21" t="s">
        <v>494</v>
      </c>
      <c r="H42" s="23" t="s">
        <v>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0"/>
  <sheetViews>
    <sheetView workbookViewId="0">
      <selection activeCell="D316" sqref="D316"/>
    </sheetView>
  </sheetViews>
  <sheetFormatPr defaultRowHeight="14.4"/>
  <cols>
    <col min="1" max="1" width="23.44140625" bestFit="1" customWidth="1"/>
    <col min="2" max="2" width="25" style="7" bestFit="1" customWidth="1"/>
    <col min="3" max="3" width="16.77734375" bestFit="1" customWidth="1"/>
    <col min="4" max="4" width="12.88671875" bestFit="1" customWidth="1"/>
    <col min="5" max="5" width="11.88671875" bestFit="1" customWidth="1"/>
    <col min="6" max="6" width="23.33203125" style="7" bestFit="1" customWidth="1"/>
    <col min="7" max="7" width="13.109375" bestFit="1" customWidth="1"/>
    <col min="8" max="8" width="14.5546875" style="7" bestFit="1" customWidth="1"/>
    <col min="9" max="9" width="23.33203125" style="7" bestFit="1" customWidth="1"/>
    <col min="12" max="12" width="10.5546875" style="16" bestFit="1" customWidth="1"/>
  </cols>
  <sheetData>
    <row r="1" spans="1:12">
      <c r="B1"/>
      <c r="F1"/>
      <c r="H1"/>
      <c r="I1"/>
    </row>
    <row r="2" spans="1:12" ht="17.399999999999999">
      <c r="A2" s="49" t="s">
        <v>32</v>
      </c>
      <c r="B2" s="49" t="s">
        <v>996</v>
      </c>
      <c r="C2" s="49" t="s">
        <v>33</v>
      </c>
      <c r="D2" s="49" t="s">
        <v>34</v>
      </c>
      <c r="E2" s="49" t="s">
        <v>35</v>
      </c>
      <c r="F2" s="49" t="s">
        <v>36</v>
      </c>
      <c r="G2" s="49" t="s">
        <v>994</v>
      </c>
      <c r="H2" s="49" t="s">
        <v>991</v>
      </c>
      <c r="I2" s="49" t="s">
        <v>995</v>
      </c>
      <c r="L2"/>
    </row>
    <row r="3" spans="1:12">
      <c r="A3" s="17">
        <v>1</v>
      </c>
      <c r="B3" s="2">
        <v>256</v>
      </c>
      <c r="C3" s="4" t="s">
        <v>649</v>
      </c>
      <c r="D3" s="2" t="s">
        <v>26</v>
      </c>
      <c r="E3" s="2" t="s">
        <v>31</v>
      </c>
      <c r="F3" s="10">
        <v>26561.1</v>
      </c>
      <c r="G3" s="2">
        <v>15</v>
      </c>
      <c r="H3" s="6">
        <v>4</v>
      </c>
      <c r="I3" s="20">
        <v>0</v>
      </c>
      <c r="L3"/>
    </row>
    <row r="4" spans="1:12">
      <c r="A4" s="17">
        <v>2</v>
      </c>
      <c r="B4" s="2">
        <v>258</v>
      </c>
      <c r="C4" s="4" t="s">
        <v>650</v>
      </c>
      <c r="D4" s="2" t="s">
        <v>27</v>
      </c>
      <c r="E4" s="2" t="s">
        <v>31</v>
      </c>
      <c r="F4" s="10">
        <v>2672.3</v>
      </c>
      <c r="G4" s="2">
        <v>17</v>
      </c>
      <c r="H4" s="6">
        <v>5</v>
      </c>
      <c r="I4" s="20">
        <v>3</v>
      </c>
      <c r="L4"/>
    </row>
    <row r="5" spans="1:12">
      <c r="A5" s="17">
        <v>3</v>
      </c>
      <c r="B5" s="2">
        <v>266</v>
      </c>
      <c r="C5" s="4" t="s">
        <v>651</v>
      </c>
      <c r="D5" s="2" t="s">
        <v>28</v>
      </c>
      <c r="E5" s="2" t="s">
        <v>31</v>
      </c>
      <c r="F5" s="10">
        <v>15026.28</v>
      </c>
      <c r="G5" s="2">
        <v>33</v>
      </c>
      <c r="H5" s="6">
        <v>7</v>
      </c>
      <c r="I5" s="20">
        <v>5</v>
      </c>
      <c r="L5"/>
    </row>
    <row r="6" spans="1:12">
      <c r="A6" s="17">
        <v>4</v>
      </c>
      <c r="B6" s="2">
        <v>267</v>
      </c>
      <c r="C6" s="4" t="s">
        <v>652</v>
      </c>
      <c r="D6" s="2" t="s">
        <v>29</v>
      </c>
      <c r="E6" s="2" t="s">
        <v>31</v>
      </c>
      <c r="F6" s="10">
        <v>5306.37</v>
      </c>
      <c r="G6" s="2">
        <v>30</v>
      </c>
      <c r="H6" s="6">
        <v>4</v>
      </c>
      <c r="I6" s="20">
        <v>3</v>
      </c>
      <c r="L6"/>
    </row>
    <row r="7" spans="1:12">
      <c r="A7" s="17">
        <v>5</v>
      </c>
      <c r="B7" s="2">
        <v>272</v>
      </c>
      <c r="C7" s="4" t="s">
        <v>653</v>
      </c>
      <c r="D7" s="2" t="s">
        <v>27</v>
      </c>
      <c r="E7" s="2" t="s">
        <v>31</v>
      </c>
      <c r="F7" s="10">
        <v>7236.88</v>
      </c>
      <c r="G7" s="2">
        <v>29</v>
      </c>
      <c r="H7" s="6">
        <v>4</v>
      </c>
      <c r="I7" s="20">
        <v>2</v>
      </c>
      <c r="L7"/>
    </row>
    <row r="8" spans="1:12">
      <c r="A8" s="17">
        <v>6</v>
      </c>
      <c r="B8" s="2">
        <v>274</v>
      </c>
      <c r="C8" s="4" t="s">
        <v>654</v>
      </c>
      <c r="D8" s="2" t="s">
        <v>27</v>
      </c>
      <c r="E8" s="2" t="s">
        <v>31</v>
      </c>
      <c r="F8" s="10">
        <v>18499.98</v>
      </c>
      <c r="G8" s="2">
        <v>20</v>
      </c>
      <c r="H8" s="6">
        <v>3</v>
      </c>
      <c r="I8" s="20">
        <v>1</v>
      </c>
      <c r="L8"/>
    </row>
    <row r="9" spans="1:12">
      <c r="A9" s="17">
        <v>7</v>
      </c>
      <c r="B9" s="2">
        <v>305</v>
      </c>
      <c r="C9" s="4" t="s">
        <v>655</v>
      </c>
      <c r="D9" s="2" t="s">
        <v>29</v>
      </c>
      <c r="E9" s="2" t="s">
        <v>30</v>
      </c>
      <c r="F9" s="10">
        <v>15371.39</v>
      </c>
      <c r="G9" s="2">
        <v>23</v>
      </c>
      <c r="H9" s="6">
        <v>6</v>
      </c>
      <c r="I9" s="20">
        <v>4</v>
      </c>
      <c r="L9"/>
    </row>
    <row r="10" spans="1:12">
      <c r="A10" s="17">
        <v>8</v>
      </c>
      <c r="B10" s="2">
        <v>1</v>
      </c>
      <c r="C10" s="4" t="s">
        <v>656</v>
      </c>
      <c r="D10" s="2" t="s">
        <v>27</v>
      </c>
      <c r="E10" s="2" t="s">
        <v>8</v>
      </c>
      <c r="F10" s="10">
        <v>13500.73</v>
      </c>
      <c r="G10" s="2">
        <v>13</v>
      </c>
      <c r="H10" s="6">
        <v>4</v>
      </c>
      <c r="I10" s="20">
        <v>3</v>
      </c>
      <c r="L10"/>
    </row>
    <row r="11" spans="1:12">
      <c r="A11" s="17">
        <v>9</v>
      </c>
      <c r="B11" s="7">
        <v>308</v>
      </c>
      <c r="C11" s="4" t="s">
        <v>657</v>
      </c>
      <c r="D11" s="2" t="s">
        <v>29</v>
      </c>
      <c r="E11" s="2" t="s">
        <v>30</v>
      </c>
      <c r="F11" s="10">
        <v>24327.61</v>
      </c>
      <c r="G11" s="2">
        <v>28</v>
      </c>
      <c r="H11" s="6">
        <v>6</v>
      </c>
      <c r="I11" s="20">
        <v>2</v>
      </c>
      <c r="L11"/>
    </row>
    <row r="12" spans="1:12">
      <c r="A12" s="17">
        <v>10</v>
      </c>
      <c r="B12" s="2">
        <v>2</v>
      </c>
      <c r="C12" s="4" t="s">
        <v>658</v>
      </c>
      <c r="D12" s="2" t="s">
        <v>27</v>
      </c>
      <c r="E12" s="2" t="s">
        <v>8</v>
      </c>
      <c r="F12" s="10">
        <v>7615.13</v>
      </c>
      <c r="G12" s="2">
        <v>22</v>
      </c>
      <c r="H12" s="6">
        <v>7</v>
      </c>
      <c r="I12" s="20">
        <v>5</v>
      </c>
      <c r="L12"/>
    </row>
    <row r="13" spans="1:12">
      <c r="A13" s="17">
        <v>11</v>
      </c>
      <c r="B13" s="7">
        <v>314</v>
      </c>
      <c r="C13" s="6" t="s">
        <v>659</v>
      </c>
      <c r="D13" s="6" t="s">
        <v>27</v>
      </c>
      <c r="E13" s="6" t="s">
        <v>993</v>
      </c>
      <c r="F13" s="5">
        <v>15164.623400531857</v>
      </c>
      <c r="G13" s="2">
        <v>14</v>
      </c>
      <c r="H13" s="6">
        <v>7</v>
      </c>
      <c r="I13" s="20">
        <v>1</v>
      </c>
      <c r="L13"/>
    </row>
    <row r="14" spans="1:12">
      <c r="A14" s="17">
        <v>12</v>
      </c>
      <c r="B14" s="7">
        <v>317</v>
      </c>
      <c r="C14" s="6" t="s">
        <v>660</v>
      </c>
      <c r="D14" s="6" t="s">
        <v>27</v>
      </c>
      <c r="E14" s="6" t="s">
        <v>993</v>
      </c>
      <c r="F14" s="5">
        <v>12887.259899552011</v>
      </c>
      <c r="G14" s="2">
        <v>33</v>
      </c>
      <c r="H14" s="6">
        <v>6</v>
      </c>
      <c r="I14" s="20">
        <v>4</v>
      </c>
      <c r="L14"/>
    </row>
    <row r="15" spans="1:12">
      <c r="A15" s="17">
        <v>13</v>
      </c>
      <c r="B15" s="2">
        <v>277</v>
      </c>
      <c r="C15" s="6" t="s">
        <v>661</v>
      </c>
      <c r="D15" s="6" t="s">
        <v>27</v>
      </c>
      <c r="E15" s="6" t="s">
        <v>31</v>
      </c>
      <c r="F15" s="5">
        <v>14960.757718862444</v>
      </c>
      <c r="G15" s="2">
        <v>23</v>
      </c>
      <c r="H15" s="6">
        <v>5</v>
      </c>
      <c r="I15" s="20">
        <v>3</v>
      </c>
      <c r="L15"/>
    </row>
    <row r="16" spans="1:12">
      <c r="A16" s="17">
        <v>14</v>
      </c>
      <c r="B16" s="2">
        <v>278</v>
      </c>
      <c r="C16" s="6" t="s">
        <v>662</v>
      </c>
      <c r="D16" s="6" t="s">
        <v>26</v>
      </c>
      <c r="E16" s="6" t="s">
        <v>31</v>
      </c>
      <c r="F16" s="5">
        <v>13362.735498711847</v>
      </c>
      <c r="G16" s="2">
        <v>31</v>
      </c>
      <c r="H16" s="6">
        <v>4</v>
      </c>
      <c r="I16" s="20">
        <v>3</v>
      </c>
      <c r="L16"/>
    </row>
    <row r="17" spans="1:12">
      <c r="A17" s="17">
        <v>15</v>
      </c>
      <c r="B17" s="2">
        <v>4</v>
      </c>
      <c r="C17" s="6" t="s">
        <v>663</v>
      </c>
      <c r="D17" s="6" t="s">
        <v>28</v>
      </c>
      <c r="E17" s="6" t="s">
        <v>992</v>
      </c>
      <c r="F17" s="5">
        <v>12922.898403966248</v>
      </c>
      <c r="G17" s="2">
        <v>31</v>
      </c>
      <c r="H17" s="6">
        <v>6</v>
      </c>
      <c r="I17" s="20">
        <v>2</v>
      </c>
      <c r="L17"/>
    </row>
    <row r="18" spans="1:12">
      <c r="A18" s="17">
        <v>16</v>
      </c>
      <c r="B18" s="7">
        <v>319</v>
      </c>
      <c r="C18" s="6" t="s">
        <v>664</v>
      </c>
      <c r="D18" s="6" t="s">
        <v>26</v>
      </c>
      <c r="E18" s="6" t="s">
        <v>993</v>
      </c>
      <c r="F18" s="5">
        <v>13990.9612559939</v>
      </c>
      <c r="G18" s="2">
        <v>31</v>
      </c>
      <c r="H18" s="6">
        <v>7</v>
      </c>
      <c r="I18" s="20">
        <v>4</v>
      </c>
      <c r="L18"/>
    </row>
    <row r="19" spans="1:12">
      <c r="A19" s="17">
        <v>17</v>
      </c>
      <c r="B19" s="7">
        <v>320</v>
      </c>
      <c r="C19" s="6" t="s">
        <v>665</v>
      </c>
      <c r="D19" s="6" t="s">
        <v>29</v>
      </c>
      <c r="E19" s="6" t="s">
        <v>993</v>
      </c>
      <c r="F19" s="5">
        <v>13517.114937011504</v>
      </c>
      <c r="G19" s="2">
        <v>29</v>
      </c>
      <c r="H19" s="6">
        <v>5</v>
      </c>
      <c r="I19" s="20">
        <v>3</v>
      </c>
      <c r="L19"/>
    </row>
    <row r="20" spans="1:12">
      <c r="A20" s="17">
        <v>18</v>
      </c>
      <c r="B20" s="2">
        <v>7</v>
      </c>
      <c r="C20" s="6" t="s">
        <v>666</v>
      </c>
      <c r="D20" s="6" t="s">
        <v>26</v>
      </c>
      <c r="E20" s="6" t="s">
        <v>992</v>
      </c>
      <c r="F20" s="5">
        <v>11339.215220440385</v>
      </c>
      <c r="G20" s="2">
        <v>19</v>
      </c>
      <c r="H20" s="6">
        <v>4</v>
      </c>
      <c r="I20" s="20">
        <v>2</v>
      </c>
      <c r="L20"/>
    </row>
    <row r="21" spans="1:12">
      <c r="A21" s="17">
        <v>19</v>
      </c>
      <c r="B21" s="7">
        <v>321</v>
      </c>
      <c r="C21" s="6" t="s">
        <v>667</v>
      </c>
      <c r="D21" s="6" t="s">
        <v>28</v>
      </c>
      <c r="E21" s="6" t="s">
        <v>993</v>
      </c>
      <c r="F21" s="5">
        <v>14249.518651221299</v>
      </c>
      <c r="G21" s="2">
        <v>29</v>
      </c>
      <c r="H21" s="6">
        <v>3</v>
      </c>
      <c r="I21" s="20">
        <v>5</v>
      </c>
      <c r="L21"/>
    </row>
    <row r="22" spans="1:12">
      <c r="A22" s="17">
        <v>20</v>
      </c>
      <c r="B22" s="2">
        <v>279</v>
      </c>
      <c r="C22" s="6" t="s">
        <v>668</v>
      </c>
      <c r="D22" s="6" t="s">
        <v>28</v>
      </c>
      <c r="E22" s="6" t="s">
        <v>31</v>
      </c>
      <c r="F22" s="5">
        <v>14690.14182223764</v>
      </c>
      <c r="G22" s="2">
        <v>32</v>
      </c>
      <c r="H22" s="6">
        <v>5</v>
      </c>
      <c r="I22" s="20">
        <v>2</v>
      </c>
      <c r="L22"/>
    </row>
    <row r="23" spans="1:12">
      <c r="A23" s="17">
        <v>21</v>
      </c>
      <c r="B23" s="2">
        <v>280</v>
      </c>
      <c r="C23" s="6" t="s">
        <v>669</v>
      </c>
      <c r="D23" s="6" t="s">
        <v>28</v>
      </c>
      <c r="E23" s="6" t="s">
        <v>31</v>
      </c>
      <c r="F23" s="5">
        <v>14658.943277689834</v>
      </c>
      <c r="G23" s="2">
        <v>26</v>
      </c>
      <c r="H23" s="6">
        <v>7</v>
      </c>
      <c r="I23" s="20">
        <v>3</v>
      </c>
      <c r="L23"/>
    </row>
    <row r="24" spans="1:12">
      <c r="A24" s="17">
        <v>22</v>
      </c>
      <c r="B24" s="7">
        <v>326</v>
      </c>
      <c r="C24" s="6" t="s">
        <v>670</v>
      </c>
      <c r="D24" s="6" t="s">
        <v>29</v>
      </c>
      <c r="E24" s="6" t="s">
        <v>993</v>
      </c>
      <c r="F24" s="5">
        <v>13763.930317944689</v>
      </c>
      <c r="G24" s="2">
        <v>35</v>
      </c>
      <c r="H24" s="6">
        <v>5</v>
      </c>
      <c r="I24" s="20">
        <v>1</v>
      </c>
      <c r="L24"/>
    </row>
    <row r="25" spans="1:12">
      <c r="A25" s="17">
        <v>23</v>
      </c>
      <c r="B25" s="2">
        <v>281</v>
      </c>
      <c r="C25" s="6" t="s">
        <v>671</v>
      </c>
      <c r="D25" s="6" t="s">
        <v>28</v>
      </c>
      <c r="E25" s="6" t="s">
        <v>31</v>
      </c>
      <c r="F25" s="5">
        <v>13862.569179290223</v>
      </c>
      <c r="G25" s="2">
        <v>14</v>
      </c>
      <c r="H25" s="6">
        <v>3</v>
      </c>
      <c r="I25" s="20">
        <v>4</v>
      </c>
      <c r="L25"/>
    </row>
    <row r="26" spans="1:12">
      <c r="A26" s="17">
        <v>24</v>
      </c>
      <c r="B26" s="7">
        <v>328</v>
      </c>
      <c r="C26" s="6" t="s">
        <v>672</v>
      </c>
      <c r="D26" s="6" t="s">
        <v>26</v>
      </c>
      <c r="E26" s="6" t="s">
        <v>993</v>
      </c>
      <c r="F26" s="5">
        <v>14473.091082189787</v>
      </c>
      <c r="G26" s="2">
        <v>29</v>
      </c>
      <c r="H26" s="6">
        <v>4</v>
      </c>
      <c r="I26" s="20">
        <v>2</v>
      </c>
      <c r="L26"/>
    </row>
    <row r="27" spans="1:12">
      <c r="A27" s="17">
        <v>25</v>
      </c>
      <c r="B27" s="2">
        <v>8</v>
      </c>
      <c r="C27" s="6" t="s">
        <v>673</v>
      </c>
      <c r="D27" s="6" t="s">
        <v>29</v>
      </c>
      <c r="E27" s="6" t="s">
        <v>992</v>
      </c>
      <c r="F27" s="5">
        <v>13016.177550506474</v>
      </c>
      <c r="G27" s="2">
        <v>14</v>
      </c>
      <c r="H27" s="6">
        <v>6</v>
      </c>
      <c r="I27" s="20">
        <v>5</v>
      </c>
      <c r="L27"/>
    </row>
    <row r="28" spans="1:12">
      <c r="A28" s="17">
        <v>26</v>
      </c>
      <c r="B28" s="2">
        <v>9</v>
      </c>
      <c r="C28" s="6" t="s">
        <v>674</v>
      </c>
      <c r="D28" s="6" t="s">
        <v>28</v>
      </c>
      <c r="E28" s="6" t="s">
        <v>992</v>
      </c>
      <c r="F28" s="5">
        <v>15122.860813543231</v>
      </c>
      <c r="G28" s="2">
        <v>14</v>
      </c>
      <c r="H28" s="6">
        <v>5</v>
      </c>
      <c r="I28" s="20">
        <v>1</v>
      </c>
      <c r="L28"/>
    </row>
    <row r="29" spans="1:12">
      <c r="A29" s="17">
        <v>27</v>
      </c>
      <c r="B29" s="7">
        <v>329</v>
      </c>
      <c r="C29" s="6" t="s">
        <v>675</v>
      </c>
      <c r="D29" s="6" t="s">
        <v>28</v>
      </c>
      <c r="E29" s="6" t="s">
        <v>993</v>
      </c>
      <c r="F29" s="5">
        <v>12802.276828305186</v>
      </c>
      <c r="G29" s="2">
        <v>33</v>
      </c>
      <c r="H29" s="6">
        <v>6</v>
      </c>
      <c r="I29" s="20">
        <v>2</v>
      </c>
      <c r="L29"/>
    </row>
    <row r="30" spans="1:12">
      <c r="A30" s="17">
        <v>28</v>
      </c>
      <c r="B30" s="2">
        <v>283</v>
      </c>
      <c r="C30" s="6" t="s">
        <v>676</v>
      </c>
      <c r="D30" s="6" t="s">
        <v>29</v>
      </c>
      <c r="E30" s="6" t="s">
        <v>31</v>
      </c>
      <c r="F30" s="5">
        <v>14219.798569892011</v>
      </c>
      <c r="G30" s="2">
        <v>23</v>
      </c>
      <c r="H30" s="6">
        <v>7</v>
      </c>
      <c r="I30" s="20">
        <v>4</v>
      </c>
      <c r="L30"/>
    </row>
    <row r="31" spans="1:12">
      <c r="A31" s="17">
        <v>29</v>
      </c>
      <c r="B31" s="2">
        <v>10</v>
      </c>
      <c r="C31" s="6" t="s">
        <v>677</v>
      </c>
      <c r="D31" s="6" t="s">
        <v>29</v>
      </c>
      <c r="E31" s="6" t="s">
        <v>992</v>
      </c>
      <c r="F31" s="5">
        <v>13269.987639186003</v>
      </c>
      <c r="G31" s="2">
        <v>32</v>
      </c>
      <c r="H31" s="6">
        <v>3</v>
      </c>
      <c r="I31" s="20">
        <v>2</v>
      </c>
      <c r="L31"/>
    </row>
    <row r="32" spans="1:12">
      <c r="A32" s="17">
        <v>30</v>
      </c>
      <c r="B32" s="2">
        <v>285</v>
      </c>
      <c r="C32" s="6" t="s">
        <v>678</v>
      </c>
      <c r="D32" s="6" t="s">
        <v>28</v>
      </c>
      <c r="E32" s="6" t="s">
        <v>31</v>
      </c>
      <c r="F32" s="5">
        <v>14082.370043732955</v>
      </c>
      <c r="G32" s="2">
        <v>23</v>
      </c>
      <c r="H32" s="6">
        <v>3</v>
      </c>
      <c r="I32" s="20">
        <v>4</v>
      </c>
      <c r="L32"/>
    </row>
    <row r="33" spans="1:12">
      <c r="A33" s="17">
        <v>31</v>
      </c>
      <c r="B33" s="2">
        <v>287</v>
      </c>
      <c r="C33" s="6" t="s">
        <v>679</v>
      </c>
      <c r="D33" s="6" t="s">
        <v>29</v>
      </c>
      <c r="E33" s="6" t="s">
        <v>31</v>
      </c>
      <c r="F33" s="5">
        <v>12491.751565202141</v>
      </c>
      <c r="G33" s="2">
        <v>35</v>
      </c>
      <c r="H33" s="6">
        <v>5</v>
      </c>
      <c r="I33" s="20">
        <v>1</v>
      </c>
      <c r="L33"/>
    </row>
    <row r="34" spans="1:12">
      <c r="A34" s="17">
        <v>32</v>
      </c>
      <c r="B34" s="2">
        <v>25</v>
      </c>
      <c r="C34" s="6" t="s">
        <v>680</v>
      </c>
      <c r="D34" s="6" t="s">
        <v>26</v>
      </c>
      <c r="E34" s="6" t="s">
        <v>992</v>
      </c>
      <c r="F34" s="5">
        <v>14597.030630947122</v>
      </c>
      <c r="G34" s="2">
        <v>11</v>
      </c>
      <c r="H34" s="6">
        <v>7</v>
      </c>
      <c r="I34" s="20">
        <v>1</v>
      </c>
      <c r="L34"/>
    </row>
    <row r="35" spans="1:12">
      <c r="A35" s="17">
        <v>33</v>
      </c>
      <c r="B35" s="2">
        <v>27</v>
      </c>
      <c r="C35" s="6" t="s">
        <v>681</v>
      </c>
      <c r="D35" s="6" t="s">
        <v>26</v>
      </c>
      <c r="E35" s="6" t="s">
        <v>992</v>
      </c>
      <c r="F35" s="5">
        <v>13163.977027696821</v>
      </c>
      <c r="G35" s="2">
        <v>25</v>
      </c>
      <c r="H35" s="6">
        <v>4</v>
      </c>
      <c r="I35" s="20">
        <v>1</v>
      </c>
      <c r="L35"/>
    </row>
    <row r="36" spans="1:12">
      <c r="A36" s="17">
        <v>34</v>
      </c>
      <c r="B36" s="2">
        <v>34</v>
      </c>
      <c r="C36" s="6" t="s">
        <v>682</v>
      </c>
      <c r="D36" s="6" t="s">
        <v>26</v>
      </c>
      <c r="E36" s="6" t="s">
        <v>992</v>
      </c>
      <c r="F36" s="5">
        <v>12705.769970333497</v>
      </c>
      <c r="G36" s="2">
        <v>23</v>
      </c>
      <c r="H36" s="6">
        <v>7</v>
      </c>
      <c r="I36" s="20">
        <v>2</v>
      </c>
      <c r="L36"/>
    </row>
    <row r="37" spans="1:12">
      <c r="A37" s="17">
        <v>35</v>
      </c>
      <c r="B37" s="2">
        <v>35</v>
      </c>
      <c r="C37" s="6" t="s">
        <v>683</v>
      </c>
      <c r="D37" s="6" t="s">
        <v>29</v>
      </c>
      <c r="E37" s="6" t="s">
        <v>992</v>
      </c>
      <c r="F37" s="5">
        <v>14156.803925724309</v>
      </c>
      <c r="G37" s="2">
        <v>35</v>
      </c>
      <c r="H37" s="6">
        <v>6</v>
      </c>
      <c r="I37" s="20">
        <v>5</v>
      </c>
      <c r="L37"/>
    </row>
    <row r="38" spans="1:12">
      <c r="A38" s="17">
        <v>36</v>
      </c>
      <c r="B38" s="2">
        <v>290</v>
      </c>
      <c r="C38" s="6" t="s">
        <v>684</v>
      </c>
      <c r="D38" s="6" t="s">
        <v>29</v>
      </c>
      <c r="E38" s="6" t="s">
        <v>31</v>
      </c>
      <c r="F38" s="5">
        <v>12484.137593882044</v>
      </c>
      <c r="G38" s="2">
        <v>22</v>
      </c>
      <c r="H38" s="6">
        <v>3</v>
      </c>
      <c r="I38" s="20">
        <v>5</v>
      </c>
      <c r="L38"/>
    </row>
    <row r="39" spans="1:12">
      <c r="A39" s="17">
        <v>37</v>
      </c>
      <c r="B39" s="2">
        <v>292</v>
      </c>
      <c r="C39" s="6" t="s">
        <v>685</v>
      </c>
      <c r="D39" s="6" t="s">
        <v>28</v>
      </c>
      <c r="E39" s="6" t="s">
        <v>31</v>
      </c>
      <c r="F39" s="5">
        <v>13856.38796907988</v>
      </c>
      <c r="G39" s="2">
        <v>18</v>
      </c>
      <c r="H39" s="6">
        <v>3</v>
      </c>
      <c r="I39" s="20">
        <v>5</v>
      </c>
      <c r="L39"/>
    </row>
    <row r="40" spans="1:12">
      <c r="A40" s="17">
        <v>38</v>
      </c>
      <c r="B40" s="2">
        <v>331</v>
      </c>
      <c r="C40" s="6" t="s">
        <v>686</v>
      </c>
      <c r="D40" s="6" t="s">
        <v>28</v>
      </c>
      <c r="E40" s="6" t="s">
        <v>993</v>
      </c>
      <c r="F40" s="5">
        <v>13178.533149338184</v>
      </c>
      <c r="G40" s="2">
        <v>14</v>
      </c>
      <c r="H40" s="6">
        <v>7</v>
      </c>
      <c r="I40" s="20">
        <v>5</v>
      </c>
      <c r="L40"/>
    </row>
    <row r="41" spans="1:12">
      <c r="A41" s="17">
        <v>39</v>
      </c>
      <c r="B41" s="2">
        <v>332</v>
      </c>
      <c r="C41" s="6" t="s">
        <v>687</v>
      </c>
      <c r="D41" s="6" t="s">
        <v>26</v>
      </c>
      <c r="E41" s="6" t="s">
        <v>993</v>
      </c>
      <c r="F41" s="5">
        <v>12655.458803900548</v>
      </c>
      <c r="G41" s="2">
        <v>16</v>
      </c>
      <c r="H41" s="6">
        <v>5</v>
      </c>
      <c r="I41" s="20">
        <v>3</v>
      </c>
      <c r="L41"/>
    </row>
    <row r="42" spans="1:12">
      <c r="A42" s="17">
        <v>40</v>
      </c>
      <c r="B42" s="2">
        <v>293</v>
      </c>
      <c r="C42" s="6" t="s">
        <v>688</v>
      </c>
      <c r="D42" s="6" t="s">
        <v>29</v>
      </c>
      <c r="E42" s="6" t="s">
        <v>31</v>
      </c>
      <c r="F42" s="5">
        <v>14059.413874500753</v>
      </c>
      <c r="G42" s="2">
        <v>33</v>
      </c>
      <c r="H42" s="6">
        <v>4</v>
      </c>
      <c r="I42" s="20">
        <v>4</v>
      </c>
      <c r="L42"/>
    </row>
    <row r="43" spans="1:12">
      <c r="A43" s="17">
        <v>41</v>
      </c>
      <c r="B43" s="2">
        <v>37</v>
      </c>
      <c r="C43" s="6" t="s">
        <v>689</v>
      </c>
      <c r="D43" s="6" t="s">
        <v>29</v>
      </c>
      <c r="E43" s="6" t="s">
        <v>992</v>
      </c>
      <c r="F43" s="5">
        <v>12561.038247193939</v>
      </c>
      <c r="G43" s="2">
        <v>25</v>
      </c>
      <c r="H43" s="6">
        <v>7</v>
      </c>
      <c r="I43" s="20">
        <v>4</v>
      </c>
      <c r="L43"/>
    </row>
    <row r="44" spans="1:12">
      <c r="A44" s="17">
        <v>42</v>
      </c>
      <c r="B44" s="2">
        <v>298</v>
      </c>
      <c r="C44" s="6" t="s">
        <v>690</v>
      </c>
      <c r="D44" s="6" t="s">
        <v>29</v>
      </c>
      <c r="E44" s="6" t="s">
        <v>31</v>
      </c>
      <c r="F44" s="5">
        <v>12827.230179690379</v>
      </c>
      <c r="G44" s="2">
        <v>30</v>
      </c>
      <c r="H44" s="6">
        <v>4</v>
      </c>
      <c r="I44" s="20">
        <v>3</v>
      </c>
      <c r="L44"/>
    </row>
    <row r="45" spans="1:12">
      <c r="A45" s="17">
        <v>43</v>
      </c>
      <c r="B45" s="2">
        <v>341</v>
      </c>
      <c r="C45" s="6" t="s">
        <v>691</v>
      </c>
      <c r="D45" s="6" t="s">
        <v>28</v>
      </c>
      <c r="E45" s="6" t="s">
        <v>993</v>
      </c>
      <c r="F45" s="5">
        <v>14155.200924259409</v>
      </c>
      <c r="G45" s="2">
        <v>27</v>
      </c>
      <c r="H45" s="6">
        <v>7</v>
      </c>
      <c r="I45" s="20">
        <v>2</v>
      </c>
      <c r="L45"/>
    </row>
    <row r="46" spans="1:12">
      <c r="A46" s="17">
        <v>44</v>
      </c>
      <c r="B46" s="2">
        <v>344</v>
      </c>
      <c r="C46" s="6" t="s">
        <v>692</v>
      </c>
      <c r="D46" s="6" t="s">
        <v>29</v>
      </c>
      <c r="E46" s="6" t="s">
        <v>993</v>
      </c>
      <c r="F46" s="5">
        <v>12221.953736324214</v>
      </c>
      <c r="G46" s="2">
        <v>14</v>
      </c>
      <c r="H46" s="6">
        <v>7</v>
      </c>
      <c r="I46" s="20">
        <v>1</v>
      </c>
      <c r="L46"/>
    </row>
    <row r="47" spans="1:12">
      <c r="A47" s="17">
        <v>45</v>
      </c>
      <c r="B47" s="2">
        <v>38</v>
      </c>
      <c r="C47" s="6" t="s">
        <v>693</v>
      </c>
      <c r="D47" s="6" t="s">
        <v>27</v>
      </c>
      <c r="E47" s="6" t="s">
        <v>992</v>
      </c>
      <c r="F47" s="5">
        <v>12453.309236415227</v>
      </c>
      <c r="G47" s="2">
        <v>20</v>
      </c>
      <c r="H47" s="6">
        <v>6</v>
      </c>
      <c r="I47" s="20">
        <v>3</v>
      </c>
      <c r="L47"/>
    </row>
    <row r="48" spans="1:12">
      <c r="A48" s="17">
        <v>46</v>
      </c>
      <c r="B48" s="2">
        <v>41</v>
      </c>
      <c r="C48" s="6" t="s">
        <v>694</v>
      </c>
      <c r="D48" s="6" t="s">
        <v>26</v>
      </c>
      <c r="E48" s="6" t="s">
        <v>992</v>
      </c>
      <c r="F48" s="5">
        <v>14772.942617790979</v>
      </c>
      <c r="G48" s="2">
        <v>26</v>
      </c>
      <c r="H48" s="6">
        <v>4</v>
      </c>
      <c r="I48" s="20">
        <v>2</v>
      </c>
      <c r="L48"/>
    </row>
    <row r="49" spans="1:12">
      <c r="A49" s="17">
        <v>47</v>
      </c>
      <c r="B49" s="2">
        <v>348</v>
      </c>
      <c r="C49" s="6" t="s">
        <v>695</v>
      </c>
      <c r="D49" s="6" t="s">
        <v>29</v>
      </c>
      <c r="E49" s="6" t="s">
        <v>993</v>
      </c>
      <c r="F49" s="5">
        <v>13092.496644484347</v>
      </c>
      <c r="G49" s="2">
        <v>12</v>
      </c>
      <c r="H49" s="6">
        <v>7</v>
      </c>
      <c r="I49" s="20">
        <v>1</v>
      </c>
      <c r="L49"/>
    </row>
    <row r="50" spans="1:12">
      <c r="A50" s="17">
        <v>48</v>
      </c>
      <c r="B50" s="2">
        <v>42</v>
      </c>
      <c r="C50" s="6" t="s">
        <v>696</v>
      </c>
      <c r="D50" s="6" t="s">
        <v>27</v>
      </c>
      <c r="E50" s="6" t="s">
        <v>992</v>
      </c>
      <c r="F50" s="5">
        <v>13765.563025780286</v>
      </c>
      <c r="G50" s="2">
        <v>11</v>
      </c>
      <c r="H50" s="6">
        <v>7</v>
      </c>
      <c r="I50" s="20">
        <v>5</v>
      </c>
      <c r="L50"/>
    </row>
    <row r="51" spans="1:12">
      <c r="A51" s="17">
        <v>49</v>
      </c>
      <c r="B51" s="2">
        <v>349</v>
      </c>
      <c r="C51" s="6" t="s">
        <v>697</v>
      </c>
      <c r="D51" s="6" t="s">
        <v>27</v>
      </c>
      <c r="E51" s="6" t="s">
        <v>993</v>
      </c>
      <c r="F51" s="5">
        <v>15077.067300561614</v>
      </c>
      <c r="G51" s="2">
        <v>21</v>
      </c>
      <c r="H51" s="6">
        <v>6</v>
      </c>
      <c r="I51" s="20">
        <v>4</v>
      </c>
      <c r="L51"/>
    </row>
    <row r="52" spans="1:12">
      <c r="A52" s="17">
        <v>50</v>
      </c>
      <c r="B52" s="2">
        <v>301</v>
      </c>
      <c r="C52" s="6" t="s">
        <v>698</v>
      </c>
      <c r="D52" s="6" t="s">
        <v>29</v>
      </c>
      <c r="E52" s="6" t="s">
        <v>31</v>
      </c>
      <c r="F52" s="5">
        <v>13966.389517216887</v>
      </c>
      <c r="G52" s="2">
        <v>32</v>
      </c>
      <c r="H52" s="6">
        <v>5</v>
      </c>
      <c r="I52" s="20">
        <v>1</v>
      </c>
      <c r="L52"/>
    </row>
    <row r="53" spans="1:12">
      <c r="A53" s="17">
        <v>51</v>
      </c>
      <c r="B53" s="2">
        <v>351</v>
      </c>
      <c r="C53" s="6" t="s">
        <v>699</v>
      </c>
      <c r="D53" s="6" t="s">
        <v>29</v>
      </c>
      <c r="E53" s="6" t="s">
        <v>993</v>
      </c>
      <c r="F53" s="5">
        <v>14759.558755239415</v>
      </c>
      <c r="G53" s="2">
        <v>31</v>
      </c>
      <c r="H53" s="6">
        <v>5</v>
      </c>
      <c r="I53" s="20">
        <v>1</v>
      </c>
      <c r="L53"/>
    </row>
    <row r="54" spans="1:12">
      <c r="A54" s="17">
        <v>52</v>
      </c>
      <c r="B54" s="2">
        <v>352</v>
      </c>
      <c r="C54" s="6" t="s">
        <v>700</v>
      </c>
      <c r="D54" s="6" t="s">
        <v>26</v>
      </c>
      <c r="E54" s="6" t="s">
        <v>993</v>
      </c>
      <c r="F54" s="5">
        <v>12664.848302146131</v>
      </c>
      <c r="G54" s="2">
        <v>33</v>
      </c>
      <c r="H54" s="6">
        <v>7</v>
      </c>
      <c r="I54" s="20">
        <v>4</v>
      </c>
      <c r="L54"/>
    </row>
    <row r="55" spans="1:12">
      <c r="A55" s="17">
        <v>53</v>
      </c>
      <c r="B55" s="2">
        <v>44</v>
      </c>
      <c r="C55" s="6" t="s">
        <v>701</v>
      </c>
      <c r="D55" s="6" t="s">
        <v>29</v>
      </c>
      <c r="E55" s="6" t="s">
        <v>992</v>
      </c>
      <c r="F55" s="5">
        <v>13462.66201697181</v>
      </c>
      <c r="G55" s="2">
        <v>13</v>
      </c>
      <c r="H55" s="6">
        <v>6</v>
      </c>
      <c r="I55" s="20">
        <v>4</v>
      </c>
      <c r="L55"/>
    </row>
    <row r="56" spans="1:12">
      <c r="A56" s="17">
        <v>54</v>
      </c>
      <c r="B56" s="2">
        <v>3</v>
      </c>
      <c r="C56" s="6" t="s">
        <v>702</v>
      </c>
      <c r="D56" s="6" t="s">
        <v>29</v>
      </c>
      <c r="E56" s="6" t="s">
        <v>993</v>
      </c>
      <c r="F56" s="5">
        <v>12200.226953817766</v>
      </c>
      <c r="G56" s="2">
        <v>13</v>
      </c>
      <c r="H56" s="6">
        <v>5</v>
      </c>
      <c r="I56" s="20">
        <v>2</v>
      </c>
      <c r="L56"/>
    </row>
    <row r="57" spans="1:12">
      <c r="A57" s="17">
        <v>55</v>
      </c>
      <c r="B57" s="2">
        <v>11</v>
      </c>
      <c r="C57" s="6" t="s">
        <v>703</v>
      </c>
      <c r="D57" s="6" t="s">
        <v>29</v>
      </c>
      <c r="E57" s="6" t="s">
        <v>993</v>
      </c>
      <c r="F57" s="5">
        <v>13610.357521864718</v>
      </c>
      <c r="G57" s="2">
        <v>20</v>
      </c>
      <c r="H57" s="6">
        <v>7</v>
      </c>
      <c r="I57" s="20">
        <v>4</v>
      </c>
      <c r="L57"/>
    </row>
    <row r="58" spans="1:12">
      <c r="A58" s="17">
        <v>56</v>
      </c>
      <c r="B58" s="2">
        <v>311</v>
      </c>
      <c r="C58" s="6" t="s">
        <v>704</v>
      </c>
      <c r="D58" s="6" t="s">
        <v>27</v>
      </c>
      <c r="E58" s="6" t="s">
        <v>31</v>
      </c>
      <c r="F58" s="5">
        <v>14243.323730378326</v>
      </c>
      <c r="G58" s="2">
        <v>21</v>
      </c>
      <c r="H58" s="6">
        <v>6</v>
      </c>
      <c r="I58" s="20">
        <v>3</v>
      </c>
      <c r="L58"/>
    </row>
    <row r="59" spans="1:12">
      <c r="A59" s="17">
        <v>57</v>
      </c>
      <c r="B59" s="2">
        <v>46</v>
      </c>
      <c r="C59" s="6" t="s">
        <v>704</v>
      </c>
      <c r="D59" s="6" t="s">
        <v>29</v>
      </c>
      <c r="E59" s="6" t="s">
        <v>992</v>
      </c>
      <c r="F59" s="5">
        <v>13704.746087095193</v>
      </c>
      <c r="G59" s="2">
        <v>17</v>
      </c>
      <c r="H59" s="6">
        <v>4</v>
      </c>
      <c r="I59" s="20">
        <v>1</v>
      </c>
      <c r="L59"/>
    </row>
    <row r="60" spans="1:12">
      <c r="A60" s="17">
        <v>58</v>
      </c>
      <c r="B60" s="2">
        <v>47</v>
      </c>
      <c r="C60" s="6" t="s">
        <v>705</v>
      </c>
      <c r="D60" s="6" t="s">
        <v>29</v>
      </c>
      <c r="E60" s="6" t="s">
        <v>992</v>
      </c>
      <c r="F60" s="5">
        <v>12507.774724534831</v>
      </c>
      <c r="G60" s="2">
        <v>24</v>
      </c>
      <c r="H60" s="6">
        <v>4</v>
      </c>
      <c r="I60" s="20">
        <v>4</v>
      </c>
      <c r="L60"/>
    </row>
    <row r="61" spans="1:12">
      <c r="A61" s="17">
        <v>59</v>
      </c>
      <c r="B61" s="2">
        <v>14</v>
      </c>
      <c r="C61" s="6" t="s">
        <v>705</v>
      </c>
      <c r="D61" s="6" t="s">
        <v>28</v>
      </c>
      <c r="E61" s="6" t="s">
        <v>993</v>
      </c>
      <c r="F61" s="5">
        <v>12879.562521883419</v>
      </c>
      <c r="G61" s="2">
        <v>23</v>
      </c>
      <c r="H61" s="6">
        <v>4</v>
      </c>
      <c r="I61" s="20">
        <v>3</v>
      </c>
      <c r="L61"/>
    </row>
    <row r="62" spans="1:12">
      <c r="A62" s="17">
        <v>60</v>
      </c>
      <c r="B62" s="2">
        <v>316</v>
      </c>
      <c r="C62" s="6" t="s">
        <v>706</v>
      </c>
      <c r="D62" s="6" t="s">
        <v>27</v>
      </c>
      <c r="E62" s="6" t="s">
        <v>31</v>
      </c>
      <c r="F62" s="5">
        <v>11788.083051877768</v>
      </c>
      <c r="G62" s="2">
        <v>24</v>
      </c>
      <c r="H62" s="6">
        <v>5</v>
      </c>
      <c r="I62" s="20">
        <v>2</v>
      </c>
      <c r="L62"/>
    </row>
    <row r="63" spans="1:12">
      <c r="A63" s="17">
        <v>61</v>
      </c>
      <c r="B63" s="2">
        <v>16</v>
      </c>
      <c r="C63" s="6" t="s">
        <v>706</v>
      </c>
      <c r="D63" s="6" t="s">
        <v>26</v>
      </c>
      <c r="E63" s="6" t="s">
        <v>993</v>
      </c>
      <c r="F63" s="5">
        <v>13662.196281283106</v>
      </c>
      <c r="G63" s="2">
        <v>33</v>
      </c>
      <c r="H63" s="6">
        <v>4</v>
      </c>
      <c r="I63" s="20">
        <v>2</v>
      </c>
      <c r="L63"/>
    </row>
    <row r="64" spans="1:12">
      <c r="A64" s="17">
        <v>62</v>
      </c>
      <c r="B64" s="2">
        <v>18</v>
      </c>
      <c r="C64" s="6" t="s">
        <v>707</v>
      </c>
      <c r="D64" s="6" t="s">
        <v>26</v>
      </c>
      <c r="E64" s="6" t="s">
        <v>993</v>
      </c>
      <c r="F64" s="5">
        <v>13319.203097561332</v>
      </c>
      <c r="G64" s="2">
        <v>15</v>
      </c>
      <c r="H64" s="6">
        <v>5</v>
      </c>
      <c r="I64" s="20">
        <v>5</v>
      </c>
      <c r="L64"/>
    </row>
    <row r="65" spans="1:12">
      <c r="A65" s="17">
        <v>63</v>
      </c>
      <c r="B65" s="2">
        <v>23</v>
      </c>
      <c r="C65" s="6" t="s">
        <v>711</v>
      </c>
      <c r="D65" s="6" t="s">
        <v>27</v>
      </c>
      <c r="E65" s="6" t="s">
        <v>993</v>
      </c>
      <c r="F65" s="5">
        <v>13226.978527180838</v>
      </c>
      <c r="G65" s="2">
        <v>12</v>
      </c>
      <c r="H65" s="6">
        <v>5</v>
      </c>
      <c r="I65" s="20">
        <v>1</v>
      </c>
      <c r="L65"/>
    </row>
    <row r="66" spans="1:12">
      <c r="A66" s="17">
        <v>64</v>
      </c>
      <c r="B66" s="2">
        <v>51</v>
      </c>
      <c r="C66" s="6" t="s">
        <v>712</v>
      </c>
      <c r="D66" s="6" t="s">
        <v>27</v>
      </c>
      <c r="E66" s="6" t="s">
        <v>992</v>
      </c>
      <c r="F66" s="5">
        <v>14122.560478180096</v>
      </c>
      <c r="G66" s="2">
        <v>20</v>
      </c>
      <c r="H66" s="6">
        <v>3</v>
      </c>
      <c r="I66" s="20">
        <v>5</v>
      </c>
      <c r="L66"/>
    </row>
    <row r="67" spans="1:12">
      <c r="A67" s="17">
        <v>65</v>
      </c>
      <c r="B67" s="2">
        <v>318</v>
      </c>
      <c r="C67" s="6" t="s">
        <v>713</v>
      </c>
      <c r="D67" s="6" t="s">
        <v>29</v>
      </c>
      <c r="E67" s="6" t="s">
        <v>31</v>
      </c>
      <c r="F67" s="5">
        <v>14051.024109884385</v>
      </c>
      <c r="G67" s="2">
        <v>19</v>
      </c>
      <c r="H67" s="6">
        <v>5</v>
      </c>
      <c r="I67" s="20">
        <v>2</v>
      </c>
      <c r="L67"/>
    </row>
    <row r="68" spans="1:12">
      <c r="A68" s="17">
        <v>66</v>
      </c>
      <c r="B68" s="2">
        <v>52</v>
      </c>
      <c r="C68" s="6" t="s">
        <v>714</v>
      </c>
      <c r="D68" s="6" t="s">
        <v>29</v>
      </c>
      <c r="E68" s="6" t="s">
        <v>992</v>
      </c>
      <c r="F68" s="5">
        <v>12031.474202311803</v>
      </c>
      <c r="G68" s="2">
        <v>25</v>
      </c>
      <c r="H68" s="6">
        <v>5</v>
      </c>
      <c r="I68" s="20">
        <v>1</v>
      </c>
      <c r="L68"/>
    </row>
    <row r="69" spans="1:12">
      <c r="A69" s="17">
        <v>67</v>
      </c>
      <c r="B69" s="2">
        <v>54</v>
      </c>
      <c r="C69" s="6" t="s">
        <v>715</v>
      </c>
      <c r="D69" s="6" t="s">
        <v>26</v>
      </c>
      <c r="E69" s="6" t="s">
        <v>992</v>
      </c>
      <c r="F69" s="5">
        <v>13535.016453014397</v>
      </c>
      <c r="G69" s="2">
        <v>17</v>
      </c>
      <c r="H69" s="6">
        <v>7</v>
      </c>
      <c r="I69" s="20">
        <v>2</v>
      </c>
      <c r="L69"/>
    </row>
    <row r="70" spans="1:12">
      <c r="A70" s="17">
        <v>68</v>
      </c>
      <c r="B70" s="2">
        <v>56</v>
      </c>
      <c r="C70" s="6" t="s">
        <v>716</v>
      </c>
      <c r="D70" s="6" t="s">
        <v>27</v>
      </c>
      <c r="E70" s="6" t="s">
        <v>992</v>
      </c>
      <c r="F70" s="5">
        <v>13479.510099367692</v>
      </c>
      <c r="G70" s="2">
        <v>14</v>
      </c>
      <c r="H70" s="6">
        <v>3</v>
      </c>
      <c r="I70" s="20">
        <v>1</v>
      </c>
      <c r="L70"/>
    </row>
    <row r="71" spans="1:12">
      <c r="A71" s="17">
        <v>69</v>
      </c>
      <c r="B71" s="2">
        <v>66</v>
      </c>
      <c r="C71" s="6" t="s">
        <v>717</v>
      </c>
      <c r="D71" s="6" t="s">
        <v>29</v>
      </c>
      <c r="E71" s="6" t="s">
        <v>992</v>
      </c>
      <c r="F71" s="5">
        <v>13683.378066142543</v>
      </c>
      <c r="G71" s="2">
        <v>33</v>
      </c>
      <c r="H71" s="6">
        <v>5</v>
      </c>
      <c r="I71" s="20">
        <v>1</v>
      </c>
      <c r="L71"/>
    </row>
    <row r="72" spans="1:12">
      <c r="A72" s="17">
        <v>70</v>
      </c>
      <c r="B72" s="2">
        <v>322</v>
      </c>
      <c r="C72" s="6" t="s">
        <v>718</v>
      </c>
      <c r="D72" s="6" t="s">
        <v>28</v>
      </c>
      <c r="E72" s="6" t="s">
        <v>31</v>
      </c>
      <c r="F72" s="5">
        <v>14386.668394516893</v>
      </c>
      <c r="G72" s="2">
        <v>27</v>
      </c>
      <c r="H72" s="6">
        <v>3</v>
      </c>
      <c r="I72" s="20">
        <v>5</v>
      </c>
      <c r="L72"/>
    </row>
    <row r="73" spans="1:12">
      <c r="A73" s="17">
        <v>71</v>
      </c>
      <c r="B73" s="2">
        <v>323</v>
      </c>
      <c r="C73" s="6" t="s">
        <v>719</v>
      </c>
      <c r="D73" s="6" t="s">
        <v>27</v>
      </c>
      <c r="E73" s="6" t="s">
        <v>31</v>
      </c>
      <c r="F73" s="5">
        <v>13433.757718283961</v>
      </c>
      <c r="G73" s="2">
        <v>22</v>
      </c>
      <c r="H73" s="6">
        <v>3</v>
      </c>
      <c r="I73" s="20">
        <v>3</v>
      </c>
      <c r="L73"/>
    </row>
    <row r="74" spans="1:12">
      <c r="A74" s="17">
        <v>72</v>
      </c>
      <c r="B74" s="2">
        <v>67</v>
      </c>
      <c r="C74" s="6" t="s">
        <v>720</v>
      </c>
      <c r="D74" s="6" t="s">
        <v>27</v>
      </c>
      <c r="E74" s="6" t="s">
        <v>992</v>
      </c>
      <c r="F74" s="5">
        <v>12406.64966847253</v>
      </c>
      <c r="G74" s="2">
        <v>20</v>
      </c>
      <c r="H74" s="6">
        <v>3</v>
      </c>
      <c r="I74" s="20">
        <v>1</v>
      </c>
      <c r="L74"/>
    </row>
    <row r="75" spans="1:12">
      <c r="A75" s="17">
        <v>73</v>
      </c>
      <c r="B75" s="2">
        <v>24</v>
      </c>
      <c r="C75" s="6" t="s">
        <v>721</v>
      </c>
      <c r="D75" s="6" t="s">
        <v>26</v>
      </c>
      <c r="E75" s="6" t="s">
        <v>993</v>
      </c>
      <c r="F75" s="5">
        <v>12379.057020306211</v>
      </c>
      <c r="G75" s="2">
        <v>20</v>
      </c>
      <c r="H75" s="6">
        <v>3</v>
      </c>
      <c r="I75" s="20">
        <v>5</v>
      </c>
      <c r="L75"/>
    </row>
    <row r="76" spans="1:12">
      <c r="A76" s="17">
        <v>74</v>
      </c>
      <c r="B76" s="2">
        <v>70</v>
      </c>
      <c r="C76" s="6" t="s">
        <v>722</v>
      </c>
      <c r="D76" s="6" t="s">
        <v>29</v>
      </c>
      <c r="E76" s="6" t="s">
        <v>992</v>
      </c>
      <c r="F76" s="5">
        <v>13856.38796907988</v>
      </c>
      <c r="G76" s="2">
        <v>18</v>
      </c>
      <c r="H76" s="6">
        <v>3</v>
      </c>
      <c r="I76" s="20">
        <v>5</v>
      </c>
      <c r="L76"/>
    </row>
    <row r="77" spans="1:12">
      <c r="A77" s="17">
        <v>75</v>
      </c>
      <c r="B77" s="2">
        <v>28</v>
      </c>
      <c r="C77" s="6" t="s">
        <v>723</v>
      </c>
      <c r="D77" s="6" t="s">
        <v>26</v>
      </c>
      <c r="E77" s="6" t="s">
        <v>993</v>
      </c>
      <c r="F77" s="5">
        <v>13232.515337657607</v>
      </c>
      <c r="G77" s="2">
        <v>24</v>
      </c>
      <c r="H77" s="6">
        <v>4</v>
      </c>
      <c r="I77" s="20">
        <v>5</v>
      </c>
      <c r="L77"/>
    </row>
    <row r="78" spans="1:12">
      <c r="A78" s="17">
        <v>76</v>
      </c>
      <c r="B78" s="2">
        <v>324</v>
      </c>
      <c r="C78" s="6" t="s">
        <v>724</v>
      </c>
      <c r="D78" s="6" t="s">
        <v>27</v>
      </c>
      <c r="E78" s="6" t="s">
        <v>31</v>
      </c>
      <c r="F78" s="5">
        <v>12026.69376173508</v>
      </c>
      <c r="G78" s="2">
        <v>11</v>
      </c>
      <c r="H78" s="6">
        <v>3</v>
      </c>
      <c r="I78" s="20">
        <v>4</v>
      </c>
      <c r="L78"/>
    </row>
    <row r="79" spans="1:12">
      <c r="A79" s="17">
        <v>77</v>
      </c>
      <c r="B79" s="2">
        <v>72</v>
      </c>
      <c r="C79" s="6" t="s">
        <v>725</v>
      </c>
      <c r="D79" s="6" t="s">
        <v>28</v>
      </c>
      <c r="E79" s="6" t="s">
        <v>992</v>
      </c>
      <c r="F79" s="5">
        <v>14019.934107844894</v>
      </c>
      <c r="G79" s="2">
        <v>13</v>
      </c>
      <c r="H79" s="6">
        <v>6</v>
      </c>
      <c r="I79" s="20">
        <v>5</v>
      </c>
      <c r="L79"/>
    </row>
    <row r="80" spans="1:12">
      <c r="A80" s="17">
        <v>78</v>
      </c>
      <c r="B80" s="2">
        <v>30</v>
      </c>
      <c r="C80" s="6" t="s">
        <v>726</v>
      </c>
      <c r="D80" s="6" t="s">
        <v>29</v>
      </c>
      <c r="E80" s="6" t="s">
        <v>993</v>
      </c>
      <c r="F80" s="5">
        <v>13089.242654340344</v>
      </c>
      <c r="G80" s="2">
        <v>28</v>
      </c>
      <c r="H80" s="6">
        <v>3</v>
      </c>
      <c r="I80" s="20">
        <v>3</v>
      </c>
      <c r="L80"/>
    </row>
    <row r="81" spans="1:12">
      <c r="A81" s="17">
        <v>79</v>
      </c>
      <c r="B81" s="2">
        <v>325</v>
      </c>
      <c r="C81" s="6" t="s">
        <v>727</v>
      </c>
      <c r="D81" s="6" t="s">
        <v>27</v>
      </c>
      <c r="E81" s="6" t="s">
        <v>31</v>
      </c>
      <c r="F81" s="5">
        <v>14385.427582263948</v>
      </c>
      <c r="G81" s="2">
        <v>27</v>
      </c>
      <c r="H81" s="6">
        <v>7</v>
      </c>
      <c r="I81" s="20">
        <v>4</v>
      </c>
      <c r="L81"/>
    </row>
    <row r="82" spans="1:12">
      <c r="A82" s="17">
        <v>80</v>
      </c>
      <c r="B82" s="2">
        <v>73</v>
      </c>
      <c r="C82" s="6" t="s">
        <v>728</v>
      </c>
      <c r="D82" s="6" t="s">
        <v>28</v>
      </c>
      <c r="E82" s="6" t="s">
        <v>992</v>
      </c>
      <c r="F82" s="5">
        <v>13323.532229814011</v>
      </c>
      <c r="G82" s="2">
        <v>30</v>
      </c>
      <c r="H82" s="6">
        <v>3</v>
      </c>
      <c r="I82" s="20">
        <v>5</v>
      </c>
      <c r="L82"/>
    </row>
    <row r="83" spans="1:12">
      <c r="A83" s="17">
        <v>81</v>
      </c>
      <c r="B83" s="2">
        <v>31</v>
      </c>
      <c r="C83" s="6" t="s">
        <v>729</v>
      </c>
      <c r="D83" s="6" t="s">
        <v>29</v>
      </c>
      <c r="E83" s="6" t="s">
        <v>993</v>
      </c>
      <c r="F83" s="5">
        <v>12496.461167510281</v>
      </c>
      <c r="G83" s="2">
        <v>20</v>
      </c>
      <c r="H83" s="6">
        <v>4</v>
      </c>
      <c r="I83" s="20">
        <v>2</v>
      </c>
      <c r="L83"/>
    </row>
    <row r="84" spans="1:12">
      <c r="A84" s="17">
        <v>82</v>
      </c>
      <c r="B84" s="2">
        <v>82</v>
      </c>
      <c r="C84" s="6" t="s">
        <v>730</v>
      </c>
      <c r="D84" s="6" t="s">
        <v>29</v>
      </c>
      <c r="E84" s="6" t="s">
        <v>992</v>
      </c>
      <c r="F84" s="5">
        <v>13881.331037490601</v>
      </c>
      <c r="G84" s="2">
        <v>29</v>
      </c>
      <c r="H84" s="6">
        <v>7</v>
      </c>
      <c r="I84" s="20">
        <v>5</v>
      </c>
      <c r="L84"/>
    </row>
    <row r="85" spans="1:12">
      <c r="A85" s="17">
        <v>83</v>
      </c>
      <c r="B85" s="2">
        <v>327</v>
      </c>
      <c r="C85" s="6" t="s">
        <v>731</v>
      </c>
      <c r="D85" s="6" t="s">
        <v>26</v>
      </c>
      <c r="E85" s="6" t="s">
        <v>31</v>
      </c>
      <c r="F85" s="5">
        <v>13057.381429215458</v>
      </c>
      <c r="G85" s="2">
        <v>24</v>
      </c>
      <c r="H85" s="6">
        <v>3</v>
      </c>
      <c r="I85" s="20">
        <v>4</v>
      </c>
      <c r="L85"/>
    </row>
    <row r="86" spans="1:12">
      <c r="A86" s="17">
        <v>84</v>
      </c>
      <c r="B86" s="2">
        <v>333</v>
      </c>
      <c r="C86" s="6" t="s">
        <v>732</v>
      </c>
      <c r="D86" s="6" t="s">
        <v>28</v>
      </c>
      <c r="E86" s="6" t="s">
        <v>31</v>
      </c>
      <c r="F86" s="5">
        <v>14210.409071646429</v>
      </c>
      <c r="G86" s="2">
        <v>15</v>
      </c>
      <c r="H86" s="6">
        <v>3</v>
      </c>
      <c r="I86" s="20">
        <v>3</v>
      </c>
      <c r="L86"/>
    </row>
    <row r="87" spans="1:12">
      <c r="A87" s="17">
        <v>85</v>
      </c>
      <c r="B87" s="2">
        <v>83</v>
      </c>
      <c r="C87" s="6" t="s">
        <v>733</v>
      </c>
      <c r="D87" s="6" t="s">
        <v>26</v>
      </c>
      <c r="E87" s="6" t="s">
        <v>992</v>
      </c>
      <c r="F87" s="5">
        <v>12205.361585737412</v>
      </c>
      <c r="G87" s="2">
        <v>26</v>
      </c>
      <c r="H87" s="6">
        <v>3</v>
      </c>
      <c r="I87" s="20">
        <v>3</v>
      </c>
      <c r="L87"/>
    </row>
    <row r="88" spans="1:12">
      <c r="A88" s="17">
        <v>86</v>
      </c>
      <c r="B88" s="2">
        <v>85</v>
      </c>
      <c r="C88" s="6" t="s">
        <v>734</v>
      </c>
      <c r="D88" s="6" t="s">
        <v>29</v>
      </c>
      <c r="E88" s="6" t="s">
        <v>992</v>
      </c>
      <c r="F88" s="5">
        <v>12654.492204300188</v>
      </c>
      <c r="G88" s="2">
        <v>24</v>
      </c>
      <c r="H88" s="6">
        <v>4</v>
      </c>
      <c r="I88" s="20">
        <v>4</v>
      </c>
      <c r="L88"/>
    </row>
    <row r="89" spans="1:12">
      <c r="A89" s="17">
        <v>87</v>
      </c>
      <c r="B89" s="2">
        <v>336</v>
      </c>
      <c r="C89" s="6" t="s">
        <v>735</v>
      </c>
      <c r="D89" s="6" t="s">
        <v>28</v>
      </c>
      <c r="E89" s="6" t="s">
        <v>31</v>
      </c>
      <c r="F89" s="5">
        <v>13680.141214289326</v>
      </c>
      <c r="G89" s="2">
        <v>25</v>
      </c>
      <c r="H89" s="6">
        <v>5</v>
      </c>
      <c r="I89" s="20">
        <v>4</v>
      </c>
      <c r="L89"/>
    </row>
    <row r="90" spans="1:12">
      <c r="A90" s="17">
        <v>88</v>
      </c>
      <c r="B90" s="2">
        <v>32</v>
      </c>
      <c r="C90" s="6" t="s">
        <v>736</v>
      </c>
      <c r="D90" s="6" t="s">
        <v>27</v>
      </c>
      <c r="E90" s="6" t="s">
        <v>993</v>
      </c>
      <c r="F90" s="5">
        <v>14360.638758470306</v>
      </c>
      <c r="G90" s="2">
        <v>23</v>
      </c>
      <c r="H90" s="6">
        <v>6</v>
      </c>
      <c r="I90" s="20">
        <v>5</v>
      </c>
      <c r="L90"/>
    </row>
    <row r="91" spans="1:12">
      <c r="A91" s="17">
        <v>89</v>
      </c>
      <c r="B91" s="2">
        <v>340</v>
      </c>
      <c r="C91" s="6" t="s">
        <v>737</v>
      </c>
      <c r="D91" s="6" t="s">
        <v>28</v>
      </c>
      <c r="E91" s="6" t="s">
        <v>31</v>
      </c>
      <c r="F91" s="5">
        <v>11549.444920755197</v>
      </c>
      <c r="G91" s="2">
        <v>31</v>
      </c>
      <c r="H91" s="6">
        <v>5</v>
      </c>
      <c r="I91" s="20">
        <v>3</v>
      </c>
      <c r="L91"/>
    </row>
    <row r="92" spans="1:12">
      <c r="A92" s="17">
        <v>90</v>
      </c>
      <c r="B92" s="2">
        <v>342</v>
      </c>
      <c r="C92" s="6" t="s">
        <v>738</v>
      </c>
      <c r="D92" s="6" t="s">
        <v>27</v>
      </c>
      <c r="E92" s="6" t="s">
        <v>31</v>
      </c>
      <c r="F92" s="5">
        <v>11918.005006672322</v>
      </c>
      <c r="G92" s="2">
        <v>22</v>
      </c>
      <c r="H92" s="6">
        <v>6</v>
      </c>
      <c r="I92" s="20">
        <v>2</v>
      </c>
      <c r="L92"/>
    </row>
    <row r="93" spans="1:12">
      <c r="A93" s="17">
        <v>91</v>
      </c>
      <c r="B93" s="2">
        <v>86</v>
      </c>
      <c r="C93" s="6" t="s">
        <v>739</v>
      </c>
      <c r="D93" s="6" t="s">
        <v>28</v>
      </c>
      <c r="E93" s="6" t="s">
        <v>992</v>
      </c>
      <c r="F93" s="5">
        <v>10762.235237715506</v>
      </c>
      <c r="G93" s="2">
        <v>22</v>
      </c>
      <c r="H93" s="6">
        <v>3</v>
      </c>
      <c r="I93" s="20">
        <v>2</v>
      </c>
      <c r="L93"/>
    </row>
    <row r="94" spans="1:12">
      <c r="A94" s="17">
        <v>92</v>
      </c>
      <c r="B94" s="2">
        <v>346</v>
      </c>
      <c r="C94" s="6" t="s">
        <v>740</v>
      </c>
      <c r="D94" s="6" t="s">
        <v>29</v>
      </c>
      <c r="E94" s="6" t="s">
        <v>31</v>
      </c>
      <c r="F94" s="5">
        <v>13601.285653275047</v>
      </c>
      <c r="G94" s="2">
        <v>11</v>
      </c>
      <c r="H94" s="6">
        <v>6</v>
      </c>
      <c r="I94" s="20">
        <v>4</v>
      </c>
      <c r="L94"/>
    </row>
    <row r="95" spans="1:12">
      <c r="A95" s="17">
        <v>93</v>
      </c>
      <c r="B95" s="2">
        <v>87</v>
      </c>
      <c r="C95" s="6" t="s">
        <v>741</v>
      </c>
      <c r="D95" s="6" t="s">
        <v>29</v>
      </c>
      <c r="E95" s="6" t="s">
        <v>992</v>
      </c>
      <c r="F95" s="5">
        <v>11784.883904264281</v>
      </c>
      <c r="G95" s="2">
        <v>29</v>
      </c>
      <c r="H95" s="6">
        <v>7</v>
      </c>
      <c r="I95" s="20">
        <v>3</v>
      </c>
      <c r="L95"/>
    </row>
    <row r="96" spans="1:12">
      <c r="A96" s="17">
        <v>94</v>
      </c>
      <c r="B96" s="2">
        <v>347</v>
      </c>
      <c r="C96" s="6" t="s">
        <v>742</v>
      </c>
      <c r="D96" s="6" t="s">
        <v>28</v>
      </c>
      <c r="E96" s="6" t="s">
        <v>31</v>
      </c>
      <c r="F96" s="5">
        <v>13711.773928870391</v>
      </c>
      <c r="G96" s="2">
        <v>35</v>
      </c>
      <c r="H96" s="6">
        <v>6</v>
      </c>
      <c r="I96" s="20">
        <v>1</v>
      </c>
      <c r="L96"/>
    </row>
    <row r="97" spans="1:12">
      <c r="A97" s="17">
        <v>95</v>
      </c>
      <c r="B97" s="2">
        <v>33</v>
      </c>
      <c r="C97" s="6" t="s">
        <v>743</v>
      </c>
      <c r="D97" s="6" t="s">
        <v>27</v>
      </c>
      <c r="E97" s="6" t="s">
        <v>993</v>
      </c>
      <c r="F97" s="5">
        <v>13927.052569650916</v>
      </c>
      <c r="G97" s="2">
        <v>11</v>
      </c>
      <c r="H97" s="6">
        <v>5</v>
      </c>
      <c r="I97" s="20">
        <v>1</v>
      </c>
      <c r="L97"/>
    </row>
    <row r="98" spans="1:12">
      <c r="A98" s="17">
        <v>96</v>
      </c>
      <c r="B98" s="2">
        <v>90</v>
      </c>
      <c r="C98" s="6" t="s">
        <v>744</v>
      </c>
      <c r="D98" s="6" t="s">
        <v>28</v>
      </c>
      <c r="E98" s="6" t="s">
        <v>992</v>
      </c>
      <c r="F98" s="5">
        <v>12727.37564225172</v>
      </c>
      <c r="G98" s="2">
        <v>21</v>
      </c>
      <c r="H98" s="6">
        <v>6</v>
      </c>
      <c r="I98" s="20">
        <v>1</v>
      </c>
      <c r="L98"/>
    </row>
    <row r="99" spans="1:12">
      <c r="A99" s="17">
        <v>97</v>
      </c>
      <c r="B99" s="2">
        <v>36</v>
      </c>
      <c r="C99" s="6" t="s">
        <v>745</v>
      </c>
      <c r="D99" s="6" t="s">
        <v>29</v>
      </c>
      <c r="E99" s="6" t="s">
        <v>993</v>
      </c>
      <c r="F99" s="5">
        <v>14143.581163106139</v>
      </c>
      <c r="G99" s="2">
        <v>34</v>
      </c>
      <c r="H99" s="6">
        <v>7</v>
      </c>
      <c r="I99" s="20">
        <v>1</v>
      </c>
      <c r="L99"/>
    </row>
    <row r="100" spans="1:12">
      <c r="A100" s="17">
        <v>98</v>
      </c>
      <c r="B100" s="2">
        <v>40</v>
      </c>
      <c r="C100" s="6" t="s">
        <v>746</v>
      </c>
      <c r="D100" s="6" t="s">
        <v>27</v>
      </c>
      <c r="E100" s="6" t="s">
        <v>993</v>
      </c>
      <c r="F100" s="5">
        <v>11924.965437837092</v>
      </c>
      <c r="G100" s="2">
        <v>19</v>
      </c>
      <c r="H100" s="6">
        <v>5</v>
      </c>
      <c r="I100" s="20">
        <v>2</v>
      </c>
      <c r="L100"/>
    </row>
    <row r="101" spans="1:12">
      <c r="A101" s="17">
        <v>99</v>
      </c>
      <c r="B101" s="2">
        <v>353</v>
      </c>
      <c r="C101" s="6" t="s">
        <v>747</v>
      </c>
      <c r="D101" s="6" t="s">
        <v>27</v>
      </c>
      <c r="E101" s="6" t="s">
        <v>31</v>
      </c>
      <c r="F101" s="5">
        <v>13145.561362970331</v>
      </c>
      <c r="G101" s="2">
        <v>14</v>
      </c>
      <c r="H101" s="6">
        <v>6</v>
      </c>
      <c r="I101" s="20">
        <v>5</v>
      </c>
      <c r="L101"/>
    </row>
    <row r="102" spans="1:12">
      <c r="A102" s="17">
        <v>100</v>
      </c>
      <c r="B102" s="2">
        <v>355</v>
      </c>
      <c r="C102" s="6" t="s">
        <v>748</v>
      </c>
      <c r="D102" s="6" t="s">
        <v>29</v>
      </c>
      <c r="E102" s="6" t="s">
        <v>31</v>
      </c>
      <c r="F102" s="5">
        <v>12780.824258451323</v>
      </c>
      <c r="G102" s="2">
        <v>26</v>
      </c>
      <c r="H102" s="6">
        <v>3</v>
      </c>
      <c r="I102" s="20">
        <v>5</v>
      </c>
      <c r="L102"/>
    </row>
    <row r="103" spans="1:12">
      <c r="A103" s="17">
        <v>101</v>
      </c>
      <c r="B103" s="2">
        <v>356</v>
      </c>
      <c r="C103" s="6" t="s">
        <v>749</v>
      </c>
      <c r="D103" s="6" t="s">
        <v>28</v>
      </c>
      <c r="E103" s="6" t="s">
        <v>31</v>
      </c>
      <c r="F103" s="5">
        <v>11659.468177393866</v>
      </c>
      <c r="G103" s="2">
        <v>19</v>
      </c>
      <c r="H103" s="6">
        <v>4</v>
      </c>
      <c r="I103" s="20">
        <v>4</v>
      </c>
      <c r="L103"/>
    </row>
    <row r="104" spans="1:12">
      <c r="A104" s="17">
        <v>102</v>
      </c>
      <c r="B104" s="2">
        <v>5</v>
      </c>
      <c r="C104" s="6" t="s">
        <v>750</v>
      </c>
      <c r="D104" s="6" t="s">
        <v>26</v>
      </c>
      <c r="E104" s="6" t="s">
        <v>31</v>
      </c>
      <c r="F104" s="5">
        <v>14771.297341875472</v>
      </c>
      <c r="G104" s="2">
        <v>12</v>
      </c>
      <c r="H104" s="6">
        <v>3</v>
      </c>
      <c r="I104" s="20">
        <v>1</v>
      </c>
      <c r="L104"/>
    </row>
    <row r="105" spans="1:12">
      <c r="A105" s="17">
        <v>103</v>
      </c>
      <c r="B105" s="2">
        <v>6</v>
      </c>
      <c r="C105" s="6" t="s">
        <v>751</v>
      </c>
      <c r="D105" s="6" t="s">
        <v>29</v>
      </c>
      <c r="E105" s="6" t="s">
        <v>31</v>
      </c>
      <c r="F105" s="5">
        <v>14147.120791429918</v>
      </c>
      <c r="G105" s="2">
        <v>30</v>
      </c>
      <c r="H105" s="6">
        <v>3</v>
      </c>
      <c r="I105" s="20">
        <v>3</v>
      </c>
      <c r="L105"/>
    </row>
    <row r="106" spans="1:12">
      <c r="A106" s="17">
        <v>104</v>
      </c>
      <c r="B106" s="2">
        <v>94</v>
      </c>
      <c r="C106" s="6" t="s">
        <v>752</v>
      </c>
      <c r="D106" s="6" t="s">
        <v>29</v>
      </c>
      <c r="E106" s="6" t="s">
        <v>992</v>
      </c>
      <c r="F106" s="5">
        <v>13938.622058484545</v>
      </c>
      <c r="G106" s="2">
        <v>18</v>
      </c>
      <c r="H106" s="6">
        <v>5</v>
      </c>
      <c r="I106" s="20">
        <v>4</v>
      </c>
      <c r="L106"/>
    </row>
    <row r="107" spans="1:12">
      <c r="A107" s="17">
        <v>105</v>
      </c>
      <c r="B107" s="2">
        <v>12</v>
      </c>
      <c r="C107" s="6" t="s">
        <v>753</v>
      </c>
      <c r="D107" s="6" t="s">
        <v>27</v>
      </c>
      <c r="E107" s="6" t="s">
        <v>31</v>
      </c>
      <c r="F107" s="5">
        <v>13690.471033422729</v>
      </c>
      <c r="G107" s="2">
        <v>34</v>
      </c>
      <c r="H107" s="6">
        <v>5</v>
      </c>
      <c r="I107" s="20">
        <v>2</v>
      </c>
      <c r="L107"/>
    </row>
    <row r="108" spans="1:12">
      <c r="A108" s="17">
        <v>106</v>
      </c>
      <c r="B108" s="2">
        <v>43</v>
      </c>
      <c r="C108" s="6" t="s">
        <v>754</v>
      </c>
      <c r="D108" s="6" t="s">
        <v>26</v>
      </c>
      <c r="E108" s="6" t="s">
        <v>993</v>
      </c>
      <c r="F108" s="5">
        <v>13865.107931432069</v>
      </c>
      <c r="G108" s="2">
        <v>25</v>
      </c>
      <c r="H108" s="6">
        <v>3</v>
      </c>
      <c r="I108" s="20">
        <v>3</v>
      </c>
      <c r="L108"/>
    </row>
    <row r="109" spans="1:12">
      <c r="A109" s="17">
        <v>107</v>
      </c>
      <c r="B109" s="2">
        <v>95</v>
      </c>
      <c r="C109" s="6" t="s">
        <v>755</v>
      </c>
      <c r="D109" s="6" t="s">
        <v>26</v>
      </c>
      <c r="E109" s="6" t="s">
        <v>992</v>
      </c>
      <c r="F109" s="5">
        <v>12432.137734530263</v>
      </c>
      <c r="G109" s="2">
        <v>30</v>
      </c>
      <c r="H109" s="6">
        <v>7</v>
      </c>
      <c r="I109" s="20">
        <v>5</v>
      </c>
      <c r="L109"/>
    </row>
    <row r="110" spans="1:12">
      <c r="A110" s="17">
        <v>108</v>
      </c>
      <c r="B110" s="2">
        <v>13</v>
      </c>
      <c r="C110" s="6" t="s">
        <v>756</v>
      </c>
      <c r="D110" s="6" t="s">
        <v>26</v>
      </c>
      <c r="E110" s="6" t="s">
        <v>31</v>
      </c>
      <c r="F110" s="5">
        <v>14107.396518492171</v>
      </c>
      <c r="G110" s="2">
        <v>27</v>
      </c>
      <c r="H110" s="6">
        <v>5</v>
      </c>
      <c r="I110" s="20">
        <v>3</v>
      </c>
      <c r="L110"/>
    </row>
    <row r="111" spans="1:12">
      <c r="A111" s="17">
        <v>109</v>
      </c>
      <c r="B111" s="2">
        <v>99</v>
      </c>
      <c r="C111" s="6" t="s">
        <v>757</v>
      </c>
      <c r="D111" s="6" t="s">
        <v>28</v>
      </c>
      <c r="E111" s="6" t="s">
        <v>992</v>
      </c>
      <c r="F111" s="5">
        <v>12633.59262996237</v>
      </c>
      <c r="G111" s="2">
        <v>27</v>
      </c>
      <c r="H111" s="6">
        <v>4</v>
      </c>
      <c r="I111" s="20">
        <v>1</v>
      </c>
      <c r="L111"/>
    </row>
    <row r="112" spans="1:12">
      <c r="A112" s="17">
        <v>110</v>
      </c>
      <c r="B112" s="2">
        <v>49</v>
      </c>
      <c r="C112" s="6" t="s">
        <v>758</v>
      </c>
      <c r="D112" s="6" t="s">
        <v>28</v>
      </c>
      <c r="E112" s="6" t="s">
        <v>993</v>
      </c>
      <c r="F112" s="5">
        <v>15397.690444596084</v>
      </c>
      <c r="G112" s="2">
        <v>25</v>
      </c>
      <c r="H112" s="6">
        <v>7</v>
      </c>
      <c r="I112" s="20">
        <v>3</v>
      </c>
      <c r="L112"/>
    </row>
    <row r="113" spans="1:12">
      <c r="A113" s="17">
        <v>111</v>
      </c>
      <c r="B113" s="2">
        <v>50</v>
      </c>
      <c r="C113" s="6" t="s">
        <v>759</v>
      </c>
      <c r="D113" s="6" t="s">
        <v>26</v>
      </c>
      <c r="E113" s="6" t="s">
        <v>993</v>
      </c>
      <c r="F113" s="5">
        <v>12171.624289047761</v>
      </c>
      <c r="G113" s="2">
        <v>27</v>
      </c>
      <c r="H113" s="6">
        <v>4</v>
      </c>
      <c r="I113" s="20">
        <v>4</v>
      </c>
      <c r="L113"/>
    </row>
    <row r="114" spans="1:12">
      <c r="A114" s="17">
        <v>112</v>
      </c>
      <c r="B114" s="2">
        <v>53</v>
      </c>
      <c r="C114" s="6" t="s">
        <v>760</v>
      </c>
      <c r="D114" s="6" t="s">
        <v>27</v>
      </c>
      <c r="E114" s="6" t="s">
        <v>993</v>
      </c>
      <c r="F114" s="5">
        <v>12680.316180857337</v>
      </c>
      <c r="G114" s="2">
        <v>25</v>
      </c>
      <c r="H114" s="6">
        <v>3</v>
      </c>
      <c r="I114" s="20">
        <v>4</v>
      </c>
      <c r="L114"/>
    </row>
    <row r="115" spans="1:12">
      <c r="A115" s="17">
        <v>113</v>
      </c>
      <c r="B115" s="2">
        <v>15</v>
      </c>
      <c r="C115" s="6" t="s">
        <v>761</v>
      </c>
      <c r="D115" s="6" t="s">
        <v>29</v>
      </c>
      <c r="E115" s="6" t="s">
        <v>31</v>
      </c>
      <c r="F115" s="5">
        <v>12681.49529526345</v>
      </c>
      <c r="G115" s="2">
        <v>32</v>
      </c>
      <c r="H115" s="6">
        <v>3</v>
      </c>
      <c r="I115" s="20">
        <v>2</v>
      </c>
      <c r="L115"/>
    </row>
    <row r="116" spans="1:12">
      <c r="A116" s="17">
        <v>114</v>
      </c>
      <c r="B116" s="2">
        <v>17</v>
      </c>
      <c r="C116" s="6" t="s">
        <v>762</v>
      </c>
      <c r="D116" s="6" t="s">
        <v>27</v>
      </c>
      <c r="E116" s="6" t="s">
        <v>31</v>
      </c>
      <c r="F116" s="5">
        <v>14766.075875949175</v>
      </c>
      <c r="G116" s="2">
        <v>26</v>
      </c>
      <c r="H116" s="6">
        <v>6</v>
      </c>
      <c r="I116" s="20">
        <v>5</v>
      </c>
      <c r="L116"/>
    </row>
    <row r="117" spans="1:12">
      <c r="A117" s="17">
        <v>115</v>
      </c>
      <c r="B117" s="2">
        <v>19</v>
      </c>
      <c r="C117" s="6" t="s">
        <v>763</v>
      </c>
      <c r="D117" s="6" t="s">
        <v>28</v>
      </c>
      <c r="E117" s="6" t="s">
        <v>31</v>
      </c>
      <c r="F117" s="5">
        <v>13255.205292106259</v>
      </c>
      <c r="G117" s="2">
        <v>32</v>
      </c>
      <c r="H117" s="6">
        <v>4</v>
      </c>
      <c r="I117" s="20">
        <v>3</v>
      </c>
      <c r="L117"/>
    </row>
    <row r="118" spans="1:12">
      <c r="A118" s="17">
        <v>116</v>
      </c>
      <c r="B118" s="2">
        <v>20</v>
      </c>
      <c r="C118" s="6" t="s">
        <v>764</v>
      </c>
      <c r="D118" s="6" t="s">
        <v>26</v>
      </c>
      <c r="E118" s="6" t="s">
        <v>31</v>
      </c>
      <c r="F118" s="5">
        <v>13985.931738924412</v>
      </c>
      <c r="G118" s="2">
        <v>32</v>
      </c>
      <c r="H118" s="6">
        <v>5</v>
      </c>
      <c r="I118" s="20">
        <v>1</v>
      </c>
      <c r="L118"/>
    </row>
    <row r="119" spans="1:12">
      <c r="A119" s="17">
        <v>117</v>
      </c>
      <c r="B119" s="2">
        <v>60</v>
      </c>
      <c r="C119" s="6" t="s">
        <v>765</v>
      </c>
      <c r="D119" s="6" t="s">
        <v>29</v>
      </c>
      <c r="E119" s="6" t="s">
        <v>993</v>
      </c>
      <c r="F119" s="5">
        <v>13923.17817338044</v>
      </c>
      <c r="G119" s="2">
        <v>28</v>
      </c>
      <c r="H119" s="6">
        <v>4</v>
      </c>
      <c r="I119" s="20">
        <v>4</v>
      </c>
      <c r="L119"/>
    </row>
    <row r="120" spans="1:12">
      <c r="A120" s="17">
        <v>118</v>
      </c>
      <c r="B120" s="2">
        <v>61</v>
      </c>
      <c r="C120" s="6" t="s">
        <v>766</v>
      </c>
      <c r="D120" s="6" t="s">
        <v>26</v>
      </c>
      <c r="E120" s="6" t="s">
        <v>993</v>
      </c>
      <c r="F120" s="5">
        <v>13683.917351025959</v>
      </c>
      <c r="G120" s="2">
        <v>17</v>
      </c>
      <c r="H120" s="6">
        <v>5</v>
      </c>
      <c r="I120" s="20">
        <v>1</v>
      </c>
      <c r="L120"/>
    </row>
    <row r="121" spans="1:12">
      <c r="A121" s="17">
        <v>119</v>
      </c>
      <c r="B121" s="2">
        <v>75</v>
      </c>
      <c r="C121" s="6" t="s">
        <v>767</v>
      </c>
      <c r="D121" s="6" t="s">
        <v>28</v>
      </c>
      <c r="E121" s="6" t="s">
        <v>993</v>
      </c>
      <c r="F121" s="5">
        <v>14607.274758626592</v>
      </c>
      <c r="G121" s="2">
        <v>34</v>
      </c>
      <c r="H121" s="6">
        <v>6</v>
      </c>
      <c r="I121" s="20">
        <v>2</v>
      </c>
      <c r="L121"/>
    </row>
    <row r="122" spans="1:12">
      <c r="A122" s="17">
        <v>120</v>
      </c>
      <c r="B122" s="2">
        <v>104</v>
      </c>
      <c r="C122" s="6" t="s">
        <v>768</v>
      </c>
      <c r="D122" s="6" t="s">
        <v>28</v>
      </c>
      <c r="E122" s="6" t="s">
        <v>992</v>
      </c>
      <c r="F122" s="5">
        <v>14116.620346593483</v>
      </c>
      <c r="G122" s="2">
        <v>14</v>
      </c>
      <c r="H122" s="6">
        <v>7</v>
      </c>
      <c r="I122" s="20">
        <v>2</v>
      </c>
      <c r="L122"/>
    </row>
    <row r="123" spans="1:12">
      <c r="A123" s="17">
        <v>121</v>
      </c>
      <c r="B123" s="2">
        <v>78</v>
      </c>
      <c r="C123" s="6" t="s">
        <v>769</v>
      </c>
      <c r="D123" s="6" t="s">
        <v>27</v>
      </c>
      <c r="E123" s="6" t="s">
        <v>993</v>
      </c>
      <c r="F123" s="5">
        <v>13981.978506516318</v>
      </c>
      <c r="G123" s="2">
        <v>33</v>
      </c>
      <c r="H123" s="6">
        <v>5</v>
      </c>
      <c r="I123" s="20">
        <v>2</v>
      </c>
      <c r="L123"/>
    </row>
    <row r="124" spans="1:12">
      <c r="A124" s="17">
        <v>122</v>
      </c>
      <c r="B124" s="2">
        <v>21</v>
      </c>
      <c r="C124" s="6" t="s">
        <v>770</v>
      </c>
      <c r="D124" s="6" t="s">
        <v>28</v>
      </c>
      <c r="E124" s="6" t="s">
        <v>31</v>
      </c>
      <c r="F124" s="5">
        <v>12619.795163326491</v>
      </c>
      <c r="G124" s="2">
        <v>20</v>
      </c>
      <c r="H124" s="6">
        <v>7</v>
      </c>
      <c r="I124" s="20">
        <v>4</v>
      </c>
      <c r="L124"/>
    </row>
    <row r="125" spans="1:12">
      <c r="A125" s="17">
        <v>123</v>
      </c>
      <c r="B125" s="2">
        <v>22</v>
      </c>
      <c r="C125" s="6" t="s">
        <v>771</v>
      </c>
      <c r="D125" s="6" t="s">
        <v>27</v>
      </c>
      <c r="E125" s="6" t="s">
        <v>31</v>
      </c>
      <c r="F125" s="5">
        <v>13004.683470152306</v>
      </c>
      <c r="G125" s="2">
        <v>26</v>
      </c>
      <c r="H125" s="6">
        <v>7</v>
      </c>
      <c r="I125" s="20">
        <v>3</v>
      </c>
      <c r="L125"/>
    </row>
    <row r="126" spans="1:12">
      <c r="A126" s="17">
        <v>124</v>
      </c>
      <c r="B126" s="2">
        <v>80</v>
      </c>
      <c r="C126" s="6" t="s">
        <v>773</v>
      </c>
      <c r="D126" s="6" t="s">
        <v>27</v>
      </c>
      <c r="E126" s="6" t="s">
        <v>993</v>
      </c>
      <c r="F126" s="5">
        <v>12295.033693343432</v>
      </c>
      <c r="G126" s="2">
        <v>20</v>
      </c>
      <c r="H126" s="6">
        <v>7</v>
      </c>
      <c r="I126" s="20">
        <v>4</v>
      </c>
      <c r="L126"/>
    </row>
    <row r="127" spans="1:12">
      <c r="A127" s="17">
        <v>125</v>
      </c>
      <c r="B127" s="2">
        <v>26</v>
      </c>
      <c r="C127" s="6" t="s">
        <v>773</v>
      </c>
      <c r="D127" s="6" t="s">
        <v>28</v>
      </c>
      <c r="E127" s="6" t="s">
        <v>31</v>
      </c>
      <c r="F127" s="5">
        <v>12789.772731347332</v>
      </c>
      <c r="G127" s="2">
        <v>33</v>
      </c>
      <c r="H127" s="6">
        <v>3</v>
      </c>
      <c r="I127" s="20">
        <v>3</v>
      </c>
      <c r="L127"/>
    </row>
    <row r="128" spans="1:12">
      <c r="A128" s="17">
        <v>126</v>
      </c>
      <c r="B128" s="2">
        <v>29</v>
      </c>
      <c r="C128" s="6" t="s">
        <v>774</v>
      </c>
      <c r="D128" s="6" t="s">
        <v>28</v>
      </c>
      <c r="E128" s="6" t="s">
        <v>31</v>
      </c>
      <c r="F128" s="5">
        <v>13622.274346724955</v>
      </c>
      <c r="G128" s="2">
        <v>30</v>
      </c>
      <c r="H128" s="6">
        <v>7</v>
      </c>
      <c r="I128" s="20">
        <v>2</v>
      </c>
      <c r="L128"/>
    </row>
    <row r="129" spans="1:12">
      <c r="A129" s="17">
        <v>127</v>
      </c>
      <c r="B129" s="2">
        <v>81</v>
      </c>
      <c r="C129" s="6" t="s">
        <v>775</v>
      </c>
      <c r="D129" s="6" t="s">
        <v>26</v>
      </c>
      <c r="E129" s="6" t="s">
        <v>993</v>
      </c>
      <c r="F129" s="5">
        <v>12402.5387637892</v>
      </c>
      <c r="G129" s="2">
        <v>25</v>
      </c>
      <c r="H129" s="6">
        <v>6</v>
      </c>
      <c r="I129" s="20">
        <v>5</v>
      </c>
      <c r="L129"/>
    </row>
    <row r="130" spans="1:12">
      <c r="A130" s="17">
        <v>128</v>
      </c>
      <c r="B130" s="2">
        <v>105</v>
      </c>
      <c r="C130" s="6" t="s">
        <v>776</v>
      </c>
      <c r="D130" s="6" t="s">
        <v>29</v>
      </c>
      <c r="E130" s="6" t="s">
        <v>992</v>
      </c>
      <c r="F130" s="5">
        <v>12171.624289047761</v>
      </c>
      <c r="G130" s="2">
        <v>33</v>
      </c>
      <c r="H130" s="6">
        <v>7</v>
      </c>
      <c r="I130" s="20">
        <v>5</v>
      </c>
      <c r="L130"/>
    </row>
    <row r="131" spans="1:12">
      <c r="A131" s="17">
        <v>129</v>
      </c>
      <c r="B131" s="2">
        <v>84</v>
      </c>
      <c r="C131" s="6" t="s">
        <v>777</v>
      </c>
      <c r="D131" s="6" t="s">
        <v>28</v>
      </c>
      <c r="E131" s="6" t="s">
        <v>993</v>
      </c>
      <c r="F131" s="5">
        <v>13392.281912027831</v>
      </c>
      <c r="G131" s="2">
        <v>26</v>
      </c>
      <c r="H131" s="6">
        <v>6</v>
      </c>
      <c r="I131" s="20">
        <v>1</v>
      </c>
      <c r="L131"/>
    </row>
    <row r="132" spans="1:12">
      <c r="A132" s="17">
        <v>130</v>
      </c>
      <c r="B132" s="2">
        <v>89</v>
      </c>
      <c r="C132" s="6" t="s">
        <v>778</v>
      </c>
      <c r="D132" s="6" t="s">
        <v>27</v>
      </c>
      <c r="E132" s="6" t="s">
        <v>993</v>
      </c>
      <c r="F132" s="5">
        <v>13452.626976439935</v>
      </c>
      <c r="G132" s="2">
        <v>19</v>
      </c>
      <c r="H132" s="6">
        <v>3</v>
      </c>
      <c r="I132" s="20">
        <v>4</v>
      </c>
      <c r="L132"/>
    </row>
    <row r="133" spans="1:12">
      <c r="A133" s="17">
        <v>131</v>
      </c>
      <c r="B133" s="2">
        <v>39</v>
      </c>
      <c r="C133" s="6" t="s">
        <v>779</v>
      </c>
      <c r="D133" s="6" t="s">
        <v>29</v>
      </c>
      <c r="E133" s="6" t="s">
        <v>31</v>
      </c>
      <c r="F133" s="5">
        <v>13997.823427624828</v>
      </c>
      <c r="G133" s="2">
        <v>22</v>
      </c>
      <c r="H133" s="6">
        <v>6</v>
      </c>
      <c r="I133" s="20">
        <v>3</v>
      </c>
    </row>
    <row r="134" spans="1:12">
      <c r="A134" s="17">
        <v>132</v>
      </c>
      <c r="B134" s="2">
        <v>96</v>
      </c>
      <c r="C134" s="6" t="s">
        <v>780</v>
      </c>
      <c r="D134" s="6" t="s">
        <v>28</v>
      </c>
      <c r="E134" s="6" t="s">
        <v>993</v>
      </c>
      <c r="F134" s="5">
        <v>13578.291779803114</v>
      </c>
      <c r="G134" s="2">
        <v>13</v>
      </c>
      <c r="H134" s="6">
        <v>5</v>
      </c>
      <c r="I134" s="20">
        <v>5</v>
      </c>
    </row>
    <row r="135" spans="1:12">
      <c r="A135" s="17">
        <v>133</v>
      </c>
      <c r="B135" s="2">
        <v>98</v>
      </c>
      <c r="C135" s="6" t="s">
        <v>781</v>
      </c>
      <c r="D135" s="6" t="s">
        <v>27</v>
      </c>
      <c r="E135" s="6" t="s">
        <v>993</v>
      </c>
      <c r="F135" s="5">
        <v>12202.902812285904</v>
      </c>
      <c r="G135" s="2">
        <v>13</v>
      </c>
      <c r="H135" s="6">
        <v>4</v>
      </c>
      <c r="I135" s="20">
        <v>5</v>
      </c>
    </row>
    <row r="136" spans="1:12">
      <c r="A136" s="17">
        <v>134</v>
      </c>
      <c r="B136" s="2">
        <v>109</v>
      </c>
      <c r="C136" s="6" t="s">
        <v>782</v>
      </c>
      <c r="D136" s="6" t="s">
        <v>28</v>
      </c>
      <c r="E136" s="6" t="s">
        <v>992</v>
      </c>
      <c r="F136" s="5">
        <v>14882.572836294277</v>
      </c>
      <c r="G136" s="2">
        <v>31</v>
      </c>
      <c r="H136" s="6">
        <v>7</v>
      </c>
      <c r="I136" s="20">
        <v>3</v>
      </c>
    </row>
    <row r="137" spans="1:12">
      <c r="A137" s="17">
        <v>135</v>
      </c>
      <c r="B137" s="2">
        <v>45</v>
      </c>
      <c r="C137" s="6" t="s">
        <v>783</v>
      </c>
      <c r="D137" s="6" t="s">
        <v>28</v>
      </c>
      <c r="E137" s="6" t="s">
        <v>31</v>
      </c>
      <c r="F137" s="5">
        <v>13391.49355065165</v>
      </c>
      <c r="G137" s="2">
        <v>32</v>
      </c>
      <c r="H137" s="6">
        <v>5</v>
      </c>
      <c r="I137" s="20">
        <v>5</v>
      </c>
    </row>
    <row r="138" spans="1:12">
      <c r="A138" s="17">
        <v>136</v>
      </c>
      <c r="B138" s="2">
        <v>110</v>
      </c>
      <c r="C138" s="6" t="s">
        <v>784</v>
      </c>
      <c r="D138" s="6" t="s">
        <v>29</v>
      </c>
      <c r="E138" s="6" t="s">
        <v>992</v>
      </c>
      <c r="F138" s="5">
        <v>12727.26138697981</v>
      </c>
      <c r="G138" s="2">
        <v>25</v>
      </c>
      <c r="H138" s="6">
        <v>7</v>
      </c>
      <c r="I138" s="20">
        <v>4</v>
      </c>
    </row>
    <row r="139" spans="1:12">
      <c r="A139" s="17">
        <v>137</v>
      </c>
      <c r="B139" s="2">
        <v>113</v>
      </c>
      <c r="C139" s="6" t="s">
        <v>785</v>
      </c>
      <c r="D139" s="6" t="s">
        <v>26</v>
      </c>
      <c r="E139" s="6" t="s">
        <v>992</v>
      </c>
      <c r="F139" s="5">
        <v>14195.510184189336</v>
      </c>
      <c r="G139" s="2">
        <v>19</v>
      </c>
      <c r="H139" s="6">
        <v>4</v>
      </c>
      <c r="I139" s="20">
        <v>1</v>
      </c>
    </row>
    <row r="140" spans="1:12">
      <c r="A140" s="17">
        <v>138</v>
      </c>
      <c r="B140" s="2">
        <v>103</v>
      </c>
      <c r="C140" s="6" t="s">
        <v>786</v>
      </c>
      <c r="D140" s="6" t="s">
        <v>29</v>
      </c>
      <c r="E140" s="6" t="s">
        <v>993</v>
      </c>
      <c r="F140" s="5">
        <v>13748.239641453258</v>
      </c>
      <c r="G140" s="2">
        <v>21</v>
      </c>
      <c r="H140" s="6">
        <v>3</v>
      </c>
      <c r="I140" s="20">
        <v>3</v>
      </c>
    </row>
    <row r="141" spans="1:12">
      <c r="A141" s="17">
        <v>139</v>
      </c>
      <c r="B141" s="2">
        <v>106</v>
      </c>
      <c r="C141" s="6" t="s">
        <v>787</v>
      </c>
      <c r="D141" s="6" t="s">
        <v>29</v>
      </c>
      <c r="E141" s="6" t="s">
        <v>993</v>
      </c>
      <c r="F141" s="5">
        <v>13020.936282581535</v>
      </c>
      <c r="G141" s="2">
        <v>16</v>
      </c>
      <c r="H141" s="6">
        <v>6</v>
      </c>
      <c r="I141" s="20">
        <v>2</v>
      </c>
    </row>
    <row r="142" spans="1:12">
      <c r="A142" s="17">
        <v>140</v>
      </c>
      <c r="B142" s="2">
        <v>107</v>
      </c>
      <c r="C142" s="6" t="s">
        <v>788</v>
      </c>
      <c r="D142" s="6" t="s">
        <v>28</v>
      </c>
      <c r="E142" s="6" t="s">
        <v>993</v>
      </c>
      <c r="F142" s="5">
        <v>13398.733907232601</v>
      </c>
      <c r="G142" s="2">
        <v>32</v>
      </c>
      <c r="H142" s="6">
        <v>6</v>
      </c>
      <c r="I142" s="20">
        <v>3</v>
      </c>
    </row>
    <row r="143" spans="1:12">
      <c r="A143" s="17">
        <v>141</v>
      </c>
      <c r="B143" s="2">
        <v>115</v>
      </c>
      <c r="C143" s="6" t="s">
        <v>789</v>
      </c>
      <c r="D143" s="6" t="s">
        <v>26</v>
      </c>
      <c r="E143" s="6" t="s">
        <v>992</v>
      </c>
      <c r="F143" s="5">
        <v>13824.590726907265</v>
      </c>
      <c r="G143" s="2">
        <v>29</v>
      </c>
      <c r="H143" s="6">
        <v>6</v>
      </c>
      <c r="I143" s="20">
        <v>5</v>
      </c>
    </row>
    <row r="144" spans="1:12">
      <c r="A144" s="17">
        <v>142</v>
      </c>
      <c r="B144" s="2">
        <v>111</v>
      </c>
      <c r="C144" s="6" t="s">
        <v>790</v>
      </c>
      <c r="D144" s="6" t="s">
        <v>29</v>
      </c>
      <c r="E144" s="6" t="s">
        <v>993</v>
      </c>
      <c r="F144" s="5">
        <v>13077.943950501141</v>
      </c>
      <c r="G144" s="2">
        <v>16</v>
      </c>
      <c r="H144" s="6">
        <v>4</v>
      </c>
      <c r="I144" s="20">
        <v>1</v>
      </c>
    </row>
    <row r="145" spans="1:9">
      <c r="A145" s="17">
        <v>143</v>
      </c>
      <c r="B145" s="2">
        <v>119</v>
      </c>
      <c r="C145" s="6" t="s">
        <v>791</v>
      </c>
      <c r="D145" s="6" t="s">
        <v>27</v>
      </c>
      <c r="E145" s="6" t="s">
        <v>992</v>
      </c>
      <c r="F145" s="5">
        <v>12448.665902164796</v>
      </c>
      <c r="G145" s="2">
        <v>18</v>
      </c>
      <c r="H145" s="6">
        <v>3</v>
      </c>
      <c r="I145" s="20">
        <v>4</v>
      </c>
    </row>
    <row r="146" spans="1:9">
      <c r="A146" s="17">
        <v>144</v>
      </c>
      <c r="B146" s="2">
        <v>122</v>
      </c>
      <c r="C146" s="6" t="s">
        <v>792</v>
      </c>
      <c r="D146" s="6" t="s">
        <v>28</v>
      </c>
      <c r="E146" s="6" t="s">
        <v>992</v>
      </c>
      <c r="F146" s="5">
        <v>13325.214067416529</v>
      </c>
      <c r="G146" s="2">
        <v>13</v>
      </c>
      <c r="H146" s="6">
        <v>5</v>
      </c>
      <c r="I146" s="20">
        <v>1</v>
      </c>
    </row>
    <row r="147" spans="1:9">
      <c r="A147" s="17">
        <v>145</v>
      </c>
      <c r="B147" s="2">
        <v>48</v>
      </c>
      <c r="C147" s="6" t="s">
        <v>793</v>
      </c>
      <c r="D147" s="6" t="s">
        <v>27</v>
      </c>
      <c r="E147" s="6" t="s">
        <v>31</v>
      </c>
      <c r="F147" s="5">
        <v>15150.323210699573</v>
      </c>
      <c r="G147" s="2">
        <v>19</v>
      </c>
      <c r="H147" s="6">
        <v>6</v>
      </c>
      <c r="I147" s="20">
        <v>1</v>
      </c>
    </row>
    <row r="148" spans="1:9">
      <c r="A148" s="17">
        <v>146</v>
      </c>
      <c r="B148" s="2">
        <v>55</v>
      </c>
      <c r="C148" s="6" t="s">
        <v>794</v>
      </c>
      <c r="D148" s="6" t="s">
        <v>28</v>
      </c>
      <c r="E148" s="6" t="s">
        <v>31</v>
      </c>
      <c r="F148" s="5">
        <v>12049.485403375731</v>
      </c>
      <c r="G148" s="2">
        <v>22</v>
      </c>
      <c r="H148" s="6">
        <v>5</v>
      </c>
      <c r="I148" s="20">
        <v>2</v>
      </c>
    </row>
    <row r="149" spans="1:9">
      <c r="A149" s="17">
        <v>147</v>
      </c>
      <c r="B149" s="2">
        <v>124</v>
      </c>
      <c r="C149" s="6" t="s">
        <v>795</v>
      </c>
      <c r="D149" s="6" t="s">
        <v>26</v>
      </c>
      <c r="E149" s="6" t="s">
        <v>992</v>
      </c>
      <c r="F149" s="5">
        <v>13584.676364397457</v>
      </c>
      <c r="G149" s="2">
        <v>32</v>
      </c>
      <c r="H149" s="6">
        <v>5</v>
      </c>
      <c r="I149" s="20">
        <v>3</v>
      </c>
    </row>
    <row r="150" spans="1:9">
      <c r="A150" s="17">
        <v>148</v>
      </c>
      <c r="B150" s="2">
        <v>129</v>
      </c>
      <c r="C150" s="6" t="s">
        <v>796</v>
      </c>
      <c r="D150" s="6" t="s">
        <v>29</v>
      </c>
      <c r="E150" s="6" t="s">
        <v>992</v>
      </c>
      <c r="F150" s="5">
        <v>15580.590283869971</v>
      </c>
      <c r="G150" s="2">
        <v>11</v>
      </c>
      <c r="H150" s="6">
        <v>5</v>
      </c>
      <c r="I150" s="20">
        <v>3</v>
      </c>
    </row>
    <row r="151" spans="1:9">
      <c r="A151" s="17">
        <v>149</v>
      </c>
      <c r="B151" s="2">
        <v>57</v>
      </c>
      <c r="C151" s="6" t="s">
        <v>797</v>
      </c>
      <c r="D151" s="6" t="s">
        <v>26</v>
      </c>
      <c r="E151" s="6" t="s">
        <v>31</v>
      </c>
      <c r="F151" s="5">
        <v>12749.470326733719</v>
      </c>
      <c r="G151" s="2">
        <v>12</v>
      </c>
      <c r="H151" s="6">
        <v>4</v>
      </c>
      <c r="I151" s="20">
        <v>2</v>
      </c>
    </row>
    <row r="152" spans="1:9">
      <c r="A152" s="17">
        <v>150</v>
      </c>
      <c r="B152" s="2">
        <v>130</v>
      </c>
      <c r="C152" s="6" t="s">
        <v>798</v>
      </c>
      <c r="D152" s="6" t="s">
        <v>26</v>
      </c>
      <c r="E152" s="6" t="s">
        <v>992</v>
      </c>
      <c r="F152" s="5">
        <v>11208.434066001066</v>
      </c>
      <c r="G152" s="2">
        <v>19</v>
      </c>
      <c r="H152" s="6">
        <v>5</v>
      </c>
      <c r="I152" s="20">
        <v>3</v>
      </c>
    </row>
    <row r="153" spans="1:9">
      <c r="A153" s="17">
        <v>151</v>
      </c>
      <c r="B153" s="2">
        <v>58</v>
      </c>
      <c r="C153" s="6" t="s">
        <v>799</v>
      </c>
      <c r="D153" s="6" t="s">
        <v>27</v>
      </c>
      <c r="E153" s="6" t="s">
        <v>31</v>
      </c>
      <c r="F153" s="5">
        <v>12450.466565250101</v>
      </c>
      <c r="G153" s="2">
        <v>12</v>
      </c>
      <c r="H153" s="6">
        <v>5</v>
      </c>
      <c r="I153" s="20">
        <v>4</v>
      </c>
    </row>
    <row r="154" spans="1:9">
      <c r="A154" s="17">
        <v>152</v>
      </c>
      <c r="B154" s="2">
        <v>116</v>
      </c>
      <c r="C154" s="6" t="s">
        <v>800</v>
      </c>
      <c r="D154" s="6" t="s">
        <v>26</v>
      </c>
      <c r="E154" s="6" t="s">
        <v>993</v>
      </c>
      <c r="F154" s="5">
        <v>14081.855895009359</v>
      </c>
      <c r="G154" s="2">
        <v>29</v>
      </c>
      <c r="H154" s="6">
        <v>5</v>
      </c>
      <c r="I154" s="20">
        <v>2</v>
      </c>
    </row>
    <row r="155" spans="1:9">
      <c r="A155" s="17">
        <v>153</v>
      </c>
      <c r="B155" s="2">
        <v>131</v>
      </c>
      <c r="C155" s="6" t="s">
        <v>801</v>
      </c>
      <c r="D155" s="6" t="s">
        <v>29</v>
      </c>
      <c r="E155" s="6" t="s">
        <v>992</v>
      </c>
      <c r="F155" s="5">
        <v>12358.075182172617</v>
      </c>
      <c r="G155" s="2">
        <v>16</v>
      </c>
      <c r="H155" s="6">
        <v>7</v>
      </c>
      <c r="I155" s="20">
        <v>1</v>
      </c>
    </row>
    <row r="156" spans="1:9">
      <c r="A156" s="17">
        <v>154</v>
      </c>
      <c r="B156" s="2">
        <v>135</v>
      </c>
      <c r="C156" s="6" t="s">
        <v>802</v>
      </c>
      <c r="D156" s="6" t="s">
        <v>28</v>
      </c>
      <c r="E156" s="6" t="s">
        <v>992</v>
      </c>
      <c r="F156" s="5">
        <v>13966.963078681876</v>
      </c>
      <c r="G156" s="2">
        <v>28</v>
      </c>
      <c r="H156" s="6">
        <v>6</v>
      </c>
      <c r="I156" s="20">
        <v>4</v>
      </c>
    </row>
    <row r="157" spans="1:9">
      <c r="A157" s="17">
        <v>155</v>
      </c>
      <c r="B157" s="2">
        <v>136</v>
      </c>
      <c r="C157" s="6" t="s">
        <v>803</v>
      </c>
      <c r="D157" s="6" t="s">
        <v>28</v>
      </c>
      <c r="E157" s="6" t="s">
        <v>992</v>
      </c>
      <c r="F157" s="5">
        <v>14576.231601248584</v>
      </c>
      <c r="G157" s="2">
        <v>13</v>
      </c>
      <c r="H157" s="6">
        <v>4</v>
      </c>
      <c r="I157" s="20">
        <v>2</v>
      </c>
    </row>
    <row r="158" spans="1:9">
      <c r="A158" s="17">
        <v>156</v>
      </c>
      <c r="B158" s="2">
        <v>121</v>
      </c>
      <c r="C158" s="6" t="s">
        <v>804</v>
      </c>
      <c r="D158" s="6" t="s">
        <v>28</v>
      </c>
      <c r="E158" s="6" t="s">
        <v>993</v>
      </c>
      <c r="F158" s="5">
        <v>14207.749208916359</v>
      </c>
      <c r="G158" s="2">
        <v>12</v>
      </c>
      <c r="H158" s="6">
        <v>7</v>
      </c>
      <c r="I158" s="20">
        <v>1</v>
      </c>
    </row>
    <row r="159" spans="1:9">
      <c r="A159" s="17">
        <v>157</v>
      </c>
      <c r="B159" s="2">
        <v>138</v>
      </c>
      <c r="C159" s="6" t="s">
        <v>805</v>
      </c>
      <c r="D159" s="6" t="s">
        <v>29</v>
      </c>
      <c r="E159" s="6" t="s">
        <v>992</v>
      </c>
      <c r="F159" s="5">
        <v>13902.672779730712</v>
      </c>
      <c r="G159" s="2">
        <v>33</v>
      </c>
      <c r="H159" s="6">
        <v>7</v>
      </c>
      <c r="I159" s="20">
        <v>4</v>
      </c>
    </row>
    <row r="160" spans="1:9">
      <c r="A160" s="17">
        <v>158</v>
      </c>
      <c r="B160" s="2">
        <v>123</v>
      </c>
      <c r="C160" s="6" t="s">
        <v>806</v>
      </c>
      <c r="D160" s="6" t="s">
        <v>26</v>
      </c>
      <c r="E160" s="6" t="s">
        <v>993</v>
      </c>
      <c r="F160" s="5">
        <v>14446.855786653761</v>
      </c>
      <c r="G160" s="2">
        <v>34</v>
      </c>
      <c r="H160" s="6">
        <v>7</v>
      </c>
      <c r="I160" s="20">
        <v>1</v>
      </c>
    </row>
    <row r="161" spans="1:9">
      <c r="A161" s="17">
        <v>159</v>
      </c>
      <c r="B161" s="2">
        <v>125</v>
      </c>
      <c r="C161" s="6" t="s">
        <v>807</v>
      </c>
      <c r="D161" s="6" t="s">
        <v>29</v>
      </c>
      <c r="E161" s="6" t="s">
        <v>993</v>
      </c>
      <c r="F161" s="5">
        <v>13665.891296776683</v>
      </c>
      <c r="G161" s="2">
        <v>28</v>
      </c>
      <c r="H161" s="6">
        <v>7</v>
      </c>
      <c r="I161" s="20">
        <v>4</v>
      </c>
    </row>
    <row r="162" spans="1:9">
      <c r="A162" s="17">
        <v>160</v>
      </c>
      <c r="B162" s="2">
        <v>126</v>
      </c>
      <c r="C162" s="6" t="s">
        <v>808</v>
      </c>
      <c r="D162" s="6" t="s">
        <v>29</v>
      </c>
      <c r="E162" s="6" t="s">
        <v>993</v>
      </c>
      <c r="F162" s="5">
        <v>13647.806972338733</v>
      </c>
      <c r="G162" s="2">
        <v>20</v>
      </c>
      <c r="H162" s="6">
        <v>5</v>
      </c>
      <c r="I162" s="20">
        <v>3</v>
      </c>
    </row>
    <row r="163" spans="1:9">
      <c r="A163" s="17">
        <v>161</v>
      </c>
      <c r="B163" s="2">
        <v>59</v>
      </c>
      <c r="C163" s="6" t="s">
        <v>809</v>
      </c>
      <c r="D163" s="6" t="s">
        <v>26</v>
      </c>
      <c r="E163" s="6" t="s">
        <v>31</v>
      </c>
      <c r="F163" s="5">
        <v>13798.008095344632</v>
      </c>
      <c r="G163" s="2">
        <v>24</v>
      </c>
      <c r="H163" s="6">
        <v>6</v>
      </c>
      <c r="I163" s="20">
        <v>2</v>
      </c>
    </row>
    <row r="164" spans="1:9">
      <c r="A164" s="17">
        <v>162</v>
      </c>
      <c r="B164" s="2">
        <v>127</v>
      </c>
      <c r="C164" s="6" t="s">
        <v>810</v>
      </c>
      <c r="D164" s="6" t="s">
        <v>26</v>
      </c>
      <c r="E164" s="6" t="s">
        <v>993</v>
      </c>
      <c r="F164" s="5">
        <v>12664.249604521321</v>
      </c>
      <c r="G164" s="2">
        <v>12</v>
      </c>
      <c r="H164" s="6">
        <v>6</v>
      </c>
      <c r="I164" s="20">
        <v>4</v>
      </c>
    </row>
    <row r="165" spans="1:9">
      <c r="A165" s="17">
        <v>163</v>
      </c>
      <c r="B165" s="2">
        <v>62</v>
      </c>
      <c r="C165" s="6" t="s">
        <v>811</v>
      </c>
      <c r="D165" s="6" t="s">
        <v>28</v>
      </c>
      <c r="E165" s="6" t="s">
        <v>31</v>
      </c>
      <c r="F165" s="5">
        <v>14759.558755239415</v>
      </c>
      <c r="G165" s="2">
        <v>19</v>
      </c>
      <c r="H165" s="6">
        <v>6</v>
      </c>
      <c r="I165" s="20">
        <v>1</v>
      </c>
    </row>
    <row r="166" spans="1:9">
      <c r="A166" s="17">
        <v>164</v>
      </c>
      <c r="B166" s="2">
        <v>132</v>
      </c>
      <c r="C166" s="6" t="s">
        <v>812</v>
      </c>
      <c r="D166" s="6" t="s">
        <v>26</v>
      </c>
      <c r="E166" s="6" t="s">
        <v>993</v>
      </c>
      <c r="F166" s="5">
        <v>13048.587200936528</v>
      </c>
      <c r="G166" s="2">
        <v>12</v>
      </c>
      <c r="H166" s="6">
        <v>5</v>
      </c>
      <c r="I166" s="20">
        <v>2</v>
      </c>
    </row>
    <row r="167" spans="1:9">
      <c r="A167" s="17">
        <v>165</v>
      </c>
      <c r="B167" s="2">
        <v>139</v>
      </c>
      <c r="C167" s="6" t="s">
        <v>813</v>
      </c>
      <c r="D167" s="6" t="s">
        <v>27</v>
      </c>
      <c r="E167" s="6" t="s">
        <v>992</v>
      </c>
      <c r="F167" s="5">
        <v>15426.373088056427</v>
      </c>
      <c r="G167" s="2">
        <v>34</v>
      </c>
      <c r="H167" s="6">
        <v>5</v>
      </c>
      <c r="I167" s="20">
        <v>1</v>
      </c>
    </row>
    <row r="168" spans="1:9">
      <c r="A168" s="17">
        <v>166</v>
      </c>
      <c r="B168" s="2">
        <v>142</v>
      </c>
      <c r="C168" s="6" t="s">
        <v>814</v>
      </c>
      <c r="D168" s="6" t="s">
        <v>28</v>
      </c>
      <c r="E168" s="6" t="s">
        <v>992</v>
      </c>
      <c r="F168" s="5">
        <v>13012.049507532358</v>
      </c>
      <c r="G168" s="2">
        <v>22</v>
      </c>
      <c r="H168" s="6">
        <v>6</v>
      </c>
      <c r="I168" s="20">
        <v>3</v>
      </c>
    </row>
    <row r="169" spans="1:9">
      <c r="A169" s="17">
        <v>167</v>
      </c>
      <c r="B169" s="2">
        <v>143</v>
      </c>
      <c r="C169" s="6" t="s">
        <v>815</v>
      </c>
      <c r="D169" s="6" t="s">
        <v>29</v>
      </c>
      <c r="E169" s="6" t="s">
        <v>992</v>
      </c>
      <c r="F169" s="5">
        <v>13650.114928831319</v>
      </c>
      <c r="G169" s="2">
        <v>15</v>
      </c>
      <c r="H169" s="6">
        <v>3</v>
      </c>
      <c r="I169" s="20">
        <v>4</v>
      </c>
    </row>
    <row r="170" spans="1:9">
      <c r="A170" s="17">
        <v>168</v>
      </c>
      <c r="B170" s="2">
        <v>133</v>
      </c>
      <c r="C170" s="6" t="s">
        <v>816</v>
      </c>
      <c r="D170" s="6" t="s">
        <v>29</v>
      </c>
      <c r="E170" s="6" t="s">
        <v>993</v>
      </c>
      <c r="F170" s="5">
        <v>12722.039921053512</v>
      </c>
      <c r="G170" s="2">
        <v>34</v>
      </c>
      <c r="H170" s="6">
        <v>4</v>
      </c>
      <c r="I170" s="20">
        <v>5</v>
      </c>
    </row>
    <row r="171" spans="1:9">
      <c r="A171" s="17">
        <v>169</v>
      </c>
      <c r="B171" s="2">
        <v>334</v>
      </c>
      <c r="C171" s="6" t="s">
        <v>817</v>
      </c>
      <c r="D171" s="6" t="s">
        <v>27</v>
      </c>
      <c r="E171" s="6" t="s">
        <v>993</v>
      </c>
      <c r="F171" s="5">
        <v>14333.014118827852</v>
      </c>
      <c r="G171" s="2">
        <v>16</v>
      </c>
      <c r="H171" s="6">
        <v>6</v>
      </c>
      <c r="I171" s="20">
        <v>2</v>
      </c>
    </row>
    <row r="172" spans="1:9">
      <c r="A172" s="17">
        <v>170</v>
      </c>
      <c r="B172" s="2">
        <v>137</v>
      </c>
      <c r="C172" s="6" t="s">
        <v>818</v>
      </c>
      <c r="D172" s="6" t="s">
        <v>26</v>
      </c>
      <c r="E172" s="6" t="s">
        <v>993</v>
      </c>
      <c r="F172" s="5">
        <v>13465.848596505386</v>
      </c>
      <c r="G172" s="2">
        <v>17</v>
      </c>
      <c r="H172" s="6">
        <v>3</v>
      </c>
      <c r="I172" s="20">
        <v>5</v>
      </c>
    </row>
    <row r="173" spans="1:9">
      <c r="A173" s="17">
        <v>171</v>
      </c>
      <c r="B173" s="2">
        <v>145</v>
      </c>
      <c r="C173" s="6" t="s">
        <v>819</v>
      </c>
      <c r="D173" s="6" t="s">
        <v>28</v>
      </c>
      <c r="E173" s="6" t="s">
        <v>992</v>
      </c>
      <c r="F173" s="5">
        <v>12475.291950730754</v>
      </c>
      <c r="G173" s="2">
        <v>32</v>
      </c>
      <c r="H173" s="6">
        <v>3</v>
      </c>
      <c r="I173" s="20">
        <v>3</v>
      </c>
    </row>
    <row r="174" spans="1:9">
      <c r="A174" s="17">
        <v>172</v>
      </c>
      <c r="B174" s="2">
        <v>150</v>
      </c>
      <c r="C174" s="6" t="s">
        <v>820</v>
      </c>
      <c r="D174" s="6" t="s">
        <v>26</v>
      </c>
      <c r="E174" s="6" t="s">
        <v>992</v>
      </c>
      <c r="F174" s="5">
        <v>13821.053383688924</v>
      </c>
      <c r="G174" s="2">
        <v>14</v>
      </c>
      <c r="H174" s="6">
        <v>4</v>
      </c>
      <c r="I174" s="20">
        <v>1</v>
      </c>
    </row>
    <row r="175" spans="1:9">
      <c r="A175" s="17">
        <v>173</v>
      </c>
      <c r="B175" s="2">
        <v>63</v>
      </c>
      <c r="C175" s="6" t="s">
        <v>821</v>
      </c>
      <c r="D175" s="6" t="s">
        <v>26</v>
      </c>
      <c r="E175" s="6" t="s">
        <v>31</v>
      </c>
      <c r="F175" s="5">
        <v>12487.448711662002</v>
      </c>
      <c r="G175" s="2">
        <v>17</v>
      </c>
      <c r="H175" s="6">
        <v>4</v>
      </c>
      <c r="I175" s="20">
        <v>3</v>
      </c>
    </row>
    <row r="176" spans="1:9">
      <c r="A176" s="17">
        <v>174</v>
      </c>
      <c r="B176" s="2">
        <v>64</v>
      </c>
      <c r="C176" s="6" t="s">
        <v>822</v>
      </c>
      <c r="D176" s="6" t="s">
        <v>28</v>
      </c>
      <c r="E176" s="6" t="s">
        <v>31</v>
      </c>
      <c r="F176" s="5">
        <v>14922.022896579439</v>
      </c>
      <c r="G176" s="2">
        <v>21</v>
      </c>
      <c r="H176" s="6">
        <v>3</v>
      </c>
      <c r="I176" s="20">
        <v>1</v>
      </c>
    </row>
    <row r="177" spans="1:9">
      <c r="A177" s="17">
        <v>175</v>
      </c>
      <c r="B177" s="2">
        <v>155</v>
      </c>
      <c r="C177" s="6" t="s">
        <v>823</v>
      </c>
      <c r="D177" s="6" t="s">
        <v>26</v>
      </c>
      <c r="E177" s="6" t="s">
        <v>992</v>
      </c>
      <c r="F177" s="5">
        <v>13316.394702977779</v>
      </c>
      <c r="G177" s="2">
        <v>25</v>
      </c>
      <c r="H177" s="6">
        <v>3</v>
      </c>
      <c r="I177" s="20">
        <v>5</v>
      </c>
    </row>
    <row r="178" spans="1:9">
      <c r="A178" s="17">
        <v>176</v>
      </c>
      <c r="B178" s="2">
        <v>140</v>
      </c>
      <c r="C178" s="6" t="s">
        <v>824</v>
      </c>
      <c r="D178" s="6" t="s">
        <v>29</v>
      </c>
      <c r="E178" s="6" t="s">
        <v>993</v>
      </c>
      <c r="F178" s="5">
        <v>14807.182637677035</v>
      </c>
      <c r="G178" s="2">
        <v>31</v>
      </c>
      <c r="H178" s="6">
        <v>4</v>
      </c>
      <c r="I178" s="20">
        <v>4</v>
      </c>
    </row>
    <row r="179" spans="1:9">
      <c r="A179" s="17">
        <v>177</v>
      </c>
      <c r="B179" s="2">
        <v>159</v>
      </c>
      <c r="C179" s="6" t="s">
        <v>825</v>
      </c>
      <c r="D179" s="6" t="s">
        <v>27</v>
      </c>
      <c r="E179" s="6" t="s">
        <v>992</v>
      </c>
      <c r="F179" s="5">
        <v>12145.1536276516</v>
      </c>
      <c r="G179" s="2">
        <v>20</v>
      </c>
      <c r="H179" s="6">
        <v>3</v>
      </c>
      <c r="I179" s="20">
        <v>3</v>
      </c>
    </row>
    <row r="180" spans="1:9">
      <c r="A180" s="17">
        <v>178</v>
      </c>
      <c r="B180" s="2">
        <v>141</v>
      </c>
      <c r="C180" s="6" t="s">
        <v>826</v>
      </c>
      <c r="D180" s="6" t="s">
        <v>28</v>
      </c>
      <c r="E180" s="6" t="s">
        <v>993</v>
      </c>
      <c r="F180" s="5">
        <v>13443.980137461769</v>
      </c>
      <c r="G180" s="2">
        <v>34</v>
      </c>
      <c r="H180" s="6">
        <v>3</v>
      </c>
      <c r="I180" s="20">
        <v>4</v>
      </c>
    </row>
    <row r="181" spans="1:9">
      <c r="A181" s="17">
        <v>179</v>
      </c>
      <c r="B181" s="2">
        <v>65</v>
      </c>
      <c r="C181" s="6" t="s">
        <v>827</v>
      </c>
      <c r="D181" s="6" t="s">
        <v>28</v>
      </c>
      <c r="E181" s="6" t="s">
        <v>31</v>
      </c>
      <c r="F181" s="5">
        <v>12373.492788564183</v>
      </c>
      <c r="G181" s="2">
        <v>18</v>
      </c>
      <c r="H181" s="6">
        <v>4</v>
      </c>
      <c r="I181" s="20">
        <v>5</v>
      </c>
    </row>
    <row r="182" spans="1:9">
      <c r="A182" s="17">
        <v>180</v>
      </c>
      <c r="B182" s="2">
        <v>163</v>
      </c>
      <c r="C182" s="6" t="s">
        <v>828</v>
      </c>
      <c r="D182" s="6" t="s">
        <v>27</v>
      </c>
      <c r="E182" s="6" t="s">
        <v>992</v>
      </c>
      <c r="F182" s="5">
        <v>14024.027874237438</v>
      </c>
      <c r="G182" s="2">
        <v>22</v>
      </c>
      <c r="H182" s="6">
        <v>3</v>
      </c>
      <c r="I182" s="20">
        <v>4</v>
      </c>
    </row>
    <row r="183" spans="1:9">
      <c r="A183" s="17">
        <v>181</v>
      </c>
      <c r="B183" s="2">
        <v>146</v>
      </c>
      <c r="C183" s="6" t="s">
        <v>829</v>
      </c>
      <c r="D183" s="6" t="s">
        <v>28</v>
      </c>
      <c r="E183" s="6" t="s">
        <v>993</v>
      </c>
      <c r="F183" s="5">
        <v>12820.749620667631</v>
      </c>
      <c r="G183" s="2">
        <v>16</v>
      </c>
      <c r="H183" s="6">
        <v>7</v>
      </c>
      <c r="I183" s="20">
        <v>3</v>
      </c>
    </row>
    <row r="184" spans="1:9">
      <c r="A184" s="17">
        <v>182</v>
      </c>
      <c r="B184" s="2">
        <v>170</v>
      </c>
      <c r="C184" s="6" t="s">
        <v>830</v>
      </c>
      <c r="D184" s="6" t="s">
        <v>29</v>
      </c>
      <c r="E184" s="6" t="s">
        <v>992</v>
      </c>
      <c r="F184" s="5">
        <v>13918.502847653874</v>
      </c>
      <c r="G184" s="2">
        <v>13</v>
      </c>
      <c r="H184" s="6">
        <v>5</v>
      </c>
      <c r="I184" s="20">
        <v>1</v>
      </c>
    </row>
    <row r="185" spans="1:9">
      <c r="A185" s="17">
        <v>183</v>
      </c>
      <c r="B185" s="2">
        <v>68</v>
      </c>
      <c r="C185" s="6" t="s">
        <v>831</v>
      </c>
      <c r="D185" s="6" t="s">
        <v>28</v>
      </c>
      <c r="E185" s="6" t="s">
        <v>31</v>
      </c>
      <c r="F185" s="5">
        <v>13871.144037447086</v>
      </c>
      <c r="G185" s="2">
        <v>12</v>
      </c>
      <c r="H185" s="6">
        <v>6</v>
      </c>
      <c r="I185" s="20">
        <v>5</v>
      </c>
    </row>
    <row r="186" spans="1:9">
      <c r="A186" s="17">
        <v>184</v>
      </c>
      <c r="B186" s="2">
        <v>151</v>
      </c>
      <c r="C186" s="6" t="s">
        <v>832</v>
      </c>
      <c r="D186" s="6" t="s">
        <v>27</v>
      </c>
      <c r="E186" s="6" t="s">
        <v>993</v>
      </c>
      <c r="F186" s="5">
        <v>13156.40647338005</v>
      </c>
      <c r="G186" s="2">
        <v>25</v>
      </c>
      <c r="H186" s="6">
        <v>7</v>
      </c>
      <c r="I186" s="20">
        <v>5</v>
      </c>
    </row>
    <row r="187" spans="1:9">
      <c r="A187" s="17">
        <v>185</v>
      </c>
      <c r="B187" s="2">
        <v>171</v>
      </c>
      <c r="C187" s="6" t="s">
        <v>833</v>
      </c>
      <c r="D187" s="6" t="s">
        <v>28</v>
      </c>
      <c r="E187" s="6" t="s">
        <v>992</v>
      </c>
      <c r="F187" s="5">
        <v>14829.309313635169</v>
      </c>
      <c r="G187" s="2">
        <v>11</v>
      </c>
      <c r="H187" s="6">
        <v>7</v>
      </c>
      <c r="I187" s="20">
        <v>4</v>
      </c>
    </row>
    <row r="188" spans="1:9">
      <c r="A188" s="17">
        <v>186</v>
      </c>
      <c r="B188" s="2">
        <v>153</v>
      </c>
      <c r="C188" s="6" t="s">
        <v>835</v>
      </c>
      <c r="D188" s="6" t="s">
        <v>29</v>
      </c>
      <c r="E188" s="6" t="s">
        <v>993</v>
      </c>
      <c r="F188" s="5">
        <v>13042.731618251129</v>
      </c>
      <c r="G188" s="2">
        <v>19</v>
      </c>
      <c r="H188" s="6">
        <v>6</v>
      </c>
      <c r="I188" s="20">
        <v>3</v>
      </c>
    </row>
    <row r="189" spans="1:9">
      <c r="A189" s="17">
        <v>187</v>
      </c>
      <c r="B189" s="2">
        <v>71</v>
      </c>
      <c r="C189" s="6" t="s">
        <v>835</v>
      </c>
      <c r="D189" s="6" t="s">
        <v>29</v>
      </c>
      <c r="E189" s="6" t="s">
        <v>31</v>
      </c>
      <c r="F189" s="5">
        <v>13599.824328347315</v>
      </c>
      <c r="G189" s="2">
        <v>23</v>
      </c>
      <c r="H189" s="6">
        <v>6</v>
      </c>
      <c r="I189" s="20">
        <v>4</v>
      </c>
    </row>
    <row r="190" spans="1:9">
      <c r="A190" s="17">
        <v>188</v>
      </c>
      <c r="B190" s="2">
        <v>154</v>
      </c>
      <c r="C190" s="6" t="s">
        <v>836</v>
      </c>
      <c r="D190" s="6" t="s">
        <v>26</v>
      </c>
      <c r="E190" s="6" t="s">
        <v>993</v>
      </c>
      <c r="F190" s="5">
        <v>12683.853524075677</v>
      </c>
      <c r="G190" s="2">
        <v>14</v>
      </c>
      <c r="H190" s="6">
        <v>3</v>
      </c>
      <c r="I190" s="20">
        <v>5</v>
      </c>
    </row>
    <row r="191" spans="1:9">
      <c r="A191" s="17">
        <v>189</v>
      </c>
      <c r="B191" s="2">
        <v>74</v>
      </c>
      <c r="C191" s="6" t="s">
        <v>837</v>
      </c>
      <c r="D191" s="6" t="s">
        <v>27</v>
      </c>
      <c r="E191" s="6" t="s">
        <v>31</v>
      </c>
      <c r="F191" s="5">
        <v>12403.489367651493</v>
      </c>
      <c r="G191" s="2">
        <v>28</v>
      </c>
      <c r="H191" s="6">
        <v>4</v>
      </c>
      <c r="I191" s="20">
        <v>4</v>
      </c>
    </row>
    <row r="192" spans="1:9">
      <c r="A192" s="17">
        <v>190</v>
      </c>
      <c r="B192" s="2">
        <v>173</v>
      </c>
      <c r="C192" s="6" t="s">
        <v>838</v>
      </c>
      <c r="D192" s="6" t="s">
        <v>28</v>
      </c>
      <c r="E192" s="6" t="s">
        <v>992</v>
      </c>
      <c r="F192" s="5">
        <v>12277.049913544763</v>
      </c>
      <c r="G192" s="2">
        <v>35</v>
      </c>
      <c r="H192" s="6">
        <v>4</v>
      </c>
      <c r="I192" s="20">
        <v>5</v>
      </c>
    </row>
    <row r="193" spans="1:9">
      <c r="A193" s="17">
        <v>191</v>
      </c>
      <c r="B193" s="2">
        <v>156</v>
      </c>
      <c r="C193" s="6" t="s">
        <v>839</v>
      </c>
      <c r="D193" s="6" t="s">
        <v>26</v>
      </c>
      <c r="E193" s="6" t="s">
        <v>993</v>
      </c>
      <c r="F193" s="5">
        <v>12142.69713930553</v>
      </c>
      <c r="G193" s="2">
        <v>21</v>
      </c>
      <c r="H193" s="6">
        <v>7</v>
      </c>
      <c r="I193" s="20">
        <v>4</v>
      </c>
    </row>
    <row r="194" spans="1:9">
      <c r="A194" s="17">
        <v>192</v>
      </c>
      <c r="B194" s="2">
        <v>76</v>
      </c>
      <c r="C194" s="6" t="s">
        <v>840</v>
      </c>
      <c r="D194" s="6" t="s">
        <v>27</v>
      </c>
      <c r="E194" s="6" t="s">
        <v>31</v>
      </c>
      <c r="F194" s="5">
        <v>12136.854124700041</v>
      </c>
      <c r="G194" s="2">
        <v>12</v>
      </c>
      <c r="H194" s="6">
        <v>4</v>
      </c>
      <c r="I194" s="20">
        <v>4</v>
      </c>
    </row>
    <row r="195" spans="1:9">
      <c r="A195" s="17">
        <v>193</v>
      </c>
      <c r="B195" s="2">
        <v>77</v>
      </c>
      <c r="C195" s="6" t="s">
        <v>841</v>
      </c>
      <c r="D195" s="6" t="s">
        <v>29</v>
      </c>
      <c r="E195" s="6" t="s">
        <v>31</v>
      </c>
      <c r="F195" s="5">
        <v>14232.309522166181</v>
      </c>
      <c r="G195" s="2">
        <v>28</v>
      </c>
      <c r="H195" s="6">
        <v>7</v>
      </c>
      <c r="I195" s="20">
        <v>4</v>
      </c>
    </row>
    <row r="196" spans="1:9">
      <c r="A196" s="17">
        <v>194</v>
      </c>
      <c r="B196" s="2">
        <v>157</v>
      </c>
      <c r="C196" s="6" t="s">
        <v>842</v>
      </c>
      <c r="D196" s="6" t="s">
        <v>28</v>
      </c>
      <c r="E196" s="6" t="s">
        <v>993</v>
      </c>
      <c r="F196" s="5">
        <v>14670.521906945216</v>
      </c>
      <c r="G196" s="2">
        <v>28</v>
      </c>
      <c r="H196" s="6">
        <v>7</v>
      </c>
      <c r="I196" s="20">
        <v>2</v>
      </c>
    </row>
    <row r="197" spans="1:9">
      <c r="A197" s="17">
        <v>195</v>
      </c>
      <c r="B197" s="2">
        <v>79</v>
      </c>
      <c r="C197" s="6" t="s">
        <v>843</v>
      </c>
      <c r="D197" s="6" t="s">
        <v>26</v>
      </c>
      <c r="E197" s="6" t="s">
        <v>31</v>
      </c>
      <c r="F197" s="5">
        <v>13467.713242542961</v>
      </c>
      <c r="G197" s="2">
        <v>24</v>
      </c>
      <c r="H197" s="6">
        <v>4</v>
      </c>
      <c r="I197" s="20">
        <v>4</v>
      </c>
    </row>
    <row r="198" spans="1:9">
      <c r="A198" s="17">
        <v>196</v>
      </c>
      <c r="B198" s="2">
        <v>88</v>
      </c>
      <c r="C198" s="6" t="s">
        <v>844</v>
      </c>
      <c r="D198" s="6" t="s">
        <v>28</v>
      </c>
      <c r="E198" s="6" t="s">
        <v>31</v>
      </c>
      <c r="F198" s="5">
        <v>13625.964792007655</v>
      </c>
      <c r="G198" s="2">
        <v>14</v>
      </c>
      <c r="H198" s="6">
        <v>3</v>
      </c>
      <c r="I198" s="20">
        <v>2</v>
      </c>
    </row>
    <row r="199" spans="1:9">
      <c r="A199" s="17">
        <v>197</v>
      </c>
      <c r="B199" s="2">
        <v>164</v>
      </c>
      <c r="C199" s="6" t="s">
        <v>845</v>
      </c>
      <c r="D199" s="6" t="s">
        <v>26</v>
      </c>
      <c r="E199" s="6" t="s">
        <v>993</v>
      </c>
      <c r="F199" s="5">
        <v>12875.646993715056</v>
      </c>
      <c r="G199" s="2">
        <v>27</v>
      </c>
      <c r="H199" s="6">
        <v>6</v>
      </c>
      <c r="I199" s="20">
        <v>3</v>
      </c>
    </row>
    <row r="200" spans="1:9">
      <c r="A200" s="17">
        <v>198</v>
      </c>
      <c r="B200" s="2">
        <v>165</v>
      </c>
      <c r="C200" s="6" t="s">
        <v>846</v>
      </c>
      <c r="D200" s="6" t="s">
        <v>28</v>
      </c>
      <c r="E200" s="6" t="s">
        <v>993</v>
      </c>
      <c r="F200" s="5">
        <v>13863.758576670809</v>
      </c>
      <c r="G200" s="2">
        <v>17</v>
      </c>
      <c r="H200" s="6">
        <v>3</v>
      </c>
      <c r="I200" s="20">
        <v>3</v>
      </c>
    </row>
    <row r="201" spans="1:9">
      <c r="A201" s="17">
        <v>199</v>
      </c>
      <c r="B201" s="2">
        <v>174</v>
      </c>
      <c r="C201" s="6" t="s">
        <v>847</v>
      </c>
      <c r="D201" s="6" t="s">
        <v>29</v>
      </c>
      <c r="E201" s="6" t="s">
        <v>992</v>
      </c>
      <c r="F201" s="5">
        <v>13597.364412343088</v>
      </c>
      <c r="G201" s="2">
        <v>11</v>
      </c>
      <c r="H201" s="6">
        <v>6</v>
      </c>
      <c r="I201" s="20">
        <v>4</v>
      </c>
    </row>
    <row r="202" spans="1:9">
      <c r="A202" s="17">
        <v>200</v>
      </c>
      <c r="B202" s="2">
        <v>191</v>
      </c>
      <c r="C202" s="6" t="s">
        <v>848</v>
      </c>
      <c r="D202" s="6" t="s">
        <v>27</v>
      </c>
      <c r="E202" s="6" t="s">
        <v>992</v>
      </c>
      <c r="F202" s="5">
        <v>13399.755349363479</v>
      </c>
      <c r="G202" s="2">
        <v>34</v>
      </c>
      <c r="H202" s="6">
        <v>3</v>
      </c>
      <c r="I202" s="20">
        <v>4</v>
      </c>
    </row>
    <row r="203" spans="1:9">
      <c r="A203" s="17">
        <v>201</v>
      </c>
      <c r="B203" s="2">
        <v>91</v>
      </c>
      <c r="C203" s="6" t="s">
        <v>849</v>
      </c>
      <c r="D203" s="6" t="s">
        <v>27</v>
      </c>
      <c r="E203" s="6" t="s">
        <v>31</v>
      </c>
      <c r="F203" s="5">
        <v>13697.799366563051</v>
      </c>
      <c r="G203" s="2">
        <v>14</v>
      </c>
      <c r="H203" s="6">
        <v>5</v>
      </c>
      <c r="I203" s="20">
        <v>4</v>
      </c>
    </row>
    <row r="204" spans="1:9">
      <c r="A204" s="17">
        <v>202</v>
      </c>
      <c r="B204" s="2">
        <v>198</v>
      </c>
      <c r="C204" s="6" t="s">
        <v>850</v>
      </c>
      <c r="D204" s="6" t="s">
        <v>26</v>
      </c>
      <c r="E204" s="6" t="s">
        <v>992</v>
      </c>
      <c r="F204" s="5">
        <v>14918.972280819436</v>
      </c>
      <c r="G204" s="2">
        <v>15</v>
      </c>
      <c r="H204" s="6">
        <v>7</v>
      </c>
      <c r="I204" s="20">
        <v>5</v>
      </c>
    </row>
    <row r="205" spans="1:9">
      <c r="A205" s="17">
        <v>203</v>
      </c>
      <c r="B205" s="2">
        <v>200</v>
      </c>
      <c r="C205" s="6" t="s">
        <v>851</v>
      </c>
      <c r="D205" s="6" t="s">
        <v>27</v>
      </c>
      <c r="E205" s="6" t="s">
        <v>992</v>
      </c>
      <c r="F205" s="5">
        <v>11074.983908409924</v>
      </c>
      <c r="G205" s="2">
        <v>27</v>
      </c>
      <c r="H205" s="6">
        <v>6</v>
      </c>
      <c r="I205" s="20">
        <v>1</v>
      </c>
    </row>
    <row r="206" spans="1:9">
      <c r="A206" s="17">
        <v>204</v>
      </c>
      <c r="B206" s="2">
        <v>92</v>
      </c>
      <c r="C206" s="6" t="s">
        <v>852</v>
      </c>
      <c r="D206" s="6" t="s">
        <v>26</v>
      </c>
      <c r="E206" s="6" t="s">
        <v>31</v>
      </c>
      <c r="F206" s="5">
        <v>13456.207736661601</v>
      </c>
      <c r="G206" s="2">
        <v>17</v>
      </c>
      <c r="H206" s="6">
        <v>5</v>
      </c>
      <c r="I206" s="20">
        <v>2</v>
      </c>
    </row>
    <row r="207" spans="1:9">
      <c r="A207" s="17">
        <v>205</v>
      </c>
      <c r="B207" s="2">
        <v>202</v>
      </c>
      <c r="C207" s="6" t="s">
        <v>853</v>
      </c>
      <c r="D207" s="6" t="s">
        <v>29</v>
      </c>
      <c r="E207" s="6" t="s">
        <v>992</v>
      </c>
      <c r="F207" s="5">
        <v>13107.374965992496</v>
      </c>
      <c r="G207" s="2">
        <v>33</v>
      </c>
      <c r="H207" s="6">
        <v>5</v>
      </c>
      <c r="I207" s="20">
        <v>5</v>
      </c>
    </row>
    <row r="208" spans="1:9">
      <c r="A208" s="17">
        <v>206</v>
      </c>
      <c r="B208" s="2">
        <v>167</v>
      </c>
      <c r="C208" s="6" t="s">
        <v>854</v>
      </c>
      <c r="D208" s="6" t="s">
        <v>27</v>
      </c>
      <c r="E208" s="6" t="s">
        <v>993</v>
      </c>
      <c r="F208" s="5">
        <v>13694.867576285835</v>
      </c>
      <c r="G208" s="2">
        <v>13</v>
      </c>
      <c r="H208" s="6">
        <v>4</v>
      </c>
      <c r="I208" s="20">
        <v>4</v>
      </c>
    </row>
    <row r="209" spans="1:9">
      <c r="A209" s="17">
        <v>207</v>
      </c>
      <c r="B209" s="2">
        <v>169</v>
      </c>
      <c r="C209" s="6" t="s">
        <v>855</v>
      </c>
      <c r="D209" s="6" t="s">
        <v>29</v>
      </c>
      <c r="E209" s="6" t="s">
        <v>993</v>
      </c>
      <c r="F209" s="5">
        <v>14661.061570431049</v>
      </c>
      <c r="G209" s="2">
        <v>22</v>
      </c>
      <c r="H209" s="6">
        <v>4</v>
      </c>
      <c r="I209" s="20">
        <v>3</v>
      </c>
    </row>
    <row r="210" spans="1:9">
      <c r="A210" s="17">
        <v>208</v>
      </c>
      <c r="B210" s="2">
        <v>93</v>
      </c>
      <c r="C210" s="6" t="s">
        <v>856</v>
      </c>
      <c r="D210" s="6" t="s">
        <v>28</v>
      </c>
      <c r="E210" s="6" t="s">
        <v>31</v>
      </c>
      <c r="F210" s="5">
        <v>15111.29360981504</v>
      </c>
      <c r="G210" s="2">
        <v>11</v>
      </c>
      <c r="H210" s="6">
        <v>4</v>
      </c>
      <c r="I210" s="20">
        <v>5</v>
      </c>
    </row>
    <row r="211" spans="1:9">
      <c r="A211" s="17">
        <v>209</v>
      </c>
      <c r="B211" s="2">
        <v>204</v>
      </c>
      <c r="C211" s="6" t="s">
        <v>857</v>
      </c>
      <c r="D211" s="6" t="s">
        <v>28</v>
      </c>
      <c r="E211" s="6" t="s">
        <v>992</v>
      </c>
      <c r="F211" s="5">
        <v>11614.433319417732</v>
      </c>
      <c r="G211" s="2">
        <v>17</v>
      </c>
      <c r="H211" s="6">
        <v>7</v>
      </c>
      <c r="I211" s="20">
        <v>3</v>
      </c>
    </row>
    <row r="212" spans="1:9">
      <c r="A212" s="17">
        <v>210</v>
      </c>
      <c r="B212" s="2">
        <v>172</v>
      </c>
      <c r="C212" s="6" t="s">
        <v>858</v>
      </c>
      <c r="D212" s="6" t="s">
        <v>27</v>
      </c>
      <c r="E212" s="6" t="s">
        <v>993</v>
      </c>
      <c r="F212" s="5">
        <v>15048.725137811563</v>
      </c>
      <c r="G212" s="2">
        <v>34</v>
      </c>
      <c r="H212" s="6">
        <v>4</v>
      </c>
      <c r="I212" s="20">
        <v>2</v>
      </c>
    </row>
    <row r="213" spans="1:9">
      <c r="A213" s="17">
        <v>211</v>
      </c>
      <c r="B213" s="2">
        <v>97</v>
      </c>
      <c r="C213" s="6" t="s">
        <v>859</v>
      </c>
      <c r="D213" s="6" t="s">
        <v>26</v>
      </c>
      <c r="E213" s="6" t="s">
        <v>31</v>
      </c>
      <c r="F213" s="5">
        <v>14100.548057493872</v>
      </c>
      <c r="G213" s="2">
        <v>16</v>
      </c>
      <c r="H213" s="6">
        <v>6</v>
      </c>
      <c r="I213" s="20">
        <v>5</v>
      </c>
    </row>
    <row r="214" spans="1:9">
      <c r="A214" s="17">
        <v>212</v>
      </c>
      <c r="B214" s="2">
        <v>175</v>
      </c>
      <c r="C214" s="6" t="s">
        <v>860</v>
      </c>
      <c r="D214" s="6" t="s">
        <v>29</v>
      </c>
      <c r="E214" s="6" t="s">
        <v>993</v>
      </c>
      <c r="F214" s="5">
        <v>13737.306554484168</v>
      </c>
      <c r="G214" s="2">
        <v>27</v>
      </c>
      <c r="H214" s="6">
        <v>4</v>
      </c>
      <c r="I214" s="20">
        <v>4</v>
      </c>
    </row>
    <row r="215" spans="1:9">
      <c r="A215" s="17">
        <v>213</v>
      </c>
      <c r="B215" s="2">
        <v>205</v>
      </c>
      <c r="C215" s="6" t="s">
        <v>861</v>
      </c>
      <c r="D215" s="6" t="s">
        <v>26</v>
      </c>
      <c r="E215" s="6" t="s">
        <v>992</v>
      </c>
      <c r="F215" s="5">
        <v>13296.022987996186</v>
      </c>
      <c r="G215" s="2">
        <v>12</v>
      </c>
      <c r="H215" s="6">
        <v>6</v>
      </c>
      <c r="I215" s="20">
        <v>1</v>
      </c>
    </row>
    <row r="216" spans="1:9">
      <c r="A216" s="17">
        <v>214</v>
      </c>
      <c r="B216" s="2">
        <v>100</v>
      </c>
      <c r="C216" s="6" t="s">
        <v>862</v>
      </c>
      <c r="D216" s="6" t="s">
        <v>27</v>
      </c>
      <c r="E216" s="6" t="s">
        <v>31</v>
      </c>
      <c r="F216" s="5">
        <v>13685.614041813826</v>
      </c>
      <c r="G216" s="2">
        <v>26</v>
      </c>
      <c r="H216" s="6">
        <v>6</v>
      </c>
      <c r="I216" s="20">
        <v>4</v>
      </c>
    </row>
    <row r="217" spans="1:9">
      <c r="A217" s="17">
        <v>215</v>
      </c>
      <c r="B217" s="2">
        <v>207</v>
      </c>
      <c r="C217" s="6" t="s">
        <v>863</v>
      </c>
      <c r="D217" s="6" t="s">
        <v>27</v>
      </c>
      <c r="E217" s="6" t="s">
        <v>992</v>
      </c>
      <c r="F217" s="5">
        <v>11621.581129228436</v>
      </c>
      <c r="G217" s="2">
        <v>16</v>
      </c>
      <c r="H217" s="6">
        <v>3</v>
      </c>
      <c r="I217" s="20">
        <v>5</v>
      </c>
    </row>
    <row r="218" spans="1:9">
      <c r="A218" s="17">
        <v>216</v>
      </c>
      <c r="B218" s="2">
        <v>176</v>
      </c>
      <c r="C218" s="6" t="s">
        <v>864</v>
      </c>
      <c r="D218" s="6" t="s">
        <v>27</v>
      </c>
      <c r="E218" s="6" t="s">
        <v>993</v>
      </c>
      <c r="F218" s="5">
        <v>13930.122608807143</v>
      </c>
      <c r="G218" s="2">
        <v>28</v>
      </c>
      <c r="H218" s="6">
        <v>7</v>
      </c>
      <c r="I218" s="20">
        <v>4</v>
      </c>
    </row>
    <row r="219" spans="1:9">
      <c r="A219" s="17">
        <v>217</v>
      </c>
      <c r="B219" s="2">
        <v>101</v>
      </c>
      <c r="C219" s="6" t="s">
        <v>865</v>
      </c>
      <c r="D219" s="6" t="s">
        <v>27</v>
      </c>
      <c r="E219" s="6" t="s">
        <v>31</v>
      </c>
      <c r="F219" s="5">
        <v>12926.684823677353</v>
      </c>
      <c r="G219" s="2">
        <v>25</v>
      </c>
      <c r="H219" s="6">
        <v>7</v>
      </c>
      <c r="I219" s="20">
        <v>3</v>
      </c>
    </row>
    <row r="220" spans="1:9">
      <c r="A220" s="17">
        <v>218</v>
      </c>
      <c r="B220" s="2">
        <v>222</v>
      </c>
      <c r="C220" s="6" t="s">
        <v>866</v>
      </c>
      <c r="D220" s="6" t="s">
        <v>27</v>
      </c>
      <c r="E220" s="6" t="s">
        <v>992</v>
      </c>
      <c r="F220" s="5">
        <v>13792.69179754265</v>
      </c>
      <c r="G220" s="2">
        <v>12</v>
      </c>
      <c r="H220" s="6">
        <v>5</v>
      </c>
      <c r="I220" s="20">
        <v>2</v>
      </c>
    </row>
    <row r="221" spans="1:9">
      <c r="A221" s="17">
        <v>219</v>
      </c>
      <c r="B221" s="2">
        <v>102</v>
      </c>
      <c r="C221" s="6" t="s">
        <v>867</v>
      </c>
      <c r="D221" s="6" t="s">
        <v>29</v>
      </c>
      <c r="E221" s="6" t="s">
        <v>31</v>
      </c>
      <c r="F221" s="5">
        <v>12397.607506253555</v>
      </c>
      <c r="G221" s="2">
        <v>25</v>
      </c>
      <c r="H221" s="6">
        <v>7</v>
      </c>
      <c r="I221" s="20">
        <v>5</v>
      </c>
    </row>
    <row r="222" spans="1:9">
      <c r="A222" s="17">
        <v>220</v>
      </c>
      <c r="B222" s="2">
        <v>108</v>
      </c>
      <c r="C222" s="6" t="s">
        <v>868</v>
      </c>
      <c r="D222" s="6" t="s">
        <v>26</v>
      </c>
      <c r="E222" s="6" t="s">
        <v>31</v>
      </c>
      <c r="F222" s="5">
        <v>12620.796039508425</v>
      </c>
      <c r="G222" s="2">
        <v>35</v>
      </c>
      <c r="H222" s="6">
        <v>3</v>
      </c>
      <c r="I222" s="20">
        <v>5</v>
      </c>
    </row>
    <row r="223" spans="1:9">
      <c r="A223" s="17">
        <v>221</v>
      </c>
      <c r="B223" s="2">
        <v>112</v>
      </c>
      <c r="C223" s="6" t="s">
        <v>869</v>
      </c>
      <c r="D223" s="6" t="s">
        <v>27</v>
      </c>
      <c r="E223" s="6" t="s">
        <v>31</v>
      </c>
      <c r="F223" s="5">
        <v>14648.808835071397</v>
      </c>
      <c r="G223" s="2">
        <v>29</v>
      </c>
      <c r="H223" s="6">
        <v>7</v>
      </c>
      <c r="I223" s="20">
        <v>5</v>
      </c>
    </row>
    <row r="224" spans="1:9">
      <c r="A224" s="17">
        <v>222</v>
      </c>
      <c r="B224" s="2">
        <v>114</v>
      </c>
      <c r="C224" s="6" t="s">
        <v>870</v>
      </c>
      <c r="D224" s="6" t="s">
        <v>29</v>
      </c>
      <c r="E224" s="6" t="s">
        <v>31</v>
      </c>
      <c r="F224" s="5">
        <v>12835.13207429569</v>
      </c>
      <c r="G224" s="2">
        <v>26</v>
      </c>
      <c r="H224" s="6">
        <v>6</v>
      </c>
      <c r="I224" s="20">
        <v>1</v>
      </c>
    </row>
    <row r="225" spans="1:9">
      <c r="A225" s="17">
        <v>223</v>
      </c>
      <c r="B225" s="2">
        <v>178</v>
      </c>
      <c r="C225" s="6" t="s">
        <v>871</v>
      </c>
      <c r="D225" s="6" t="s">
        <v>29</v>
      </c>
      <c r="E225" s="6" t="s">
        <v>993</v>
      </c>
      <c r="F225" s="5">
        <v>13674.439876221006</v>
      </c>
      <c r="G225" s="2">
        <v>23</v>
      </c>
      <c r="H225" s="6">
        <v>7</v>
      </c>
      <c r="I225" s="20">
        <v>5</v>
      </c>
    </row>
    <row r="226" spans="1:9">
      <c r="A226" s="17">
        <v>224</v>
      </c>
      <c r="B226" s="2">
        <v>179</v>
      </c>
      <c r="C226" s="6" t="s">
        <v>872</v>
      </c>
      <c r="D226" s="6" t="s">
        <v>29</v>
      </c>
      <c r="E226" s="6" t="s">
        <v>993</v>
      </c>
      <c r="F226" s="5">
        <v>14195.601588406864</v>
      </c>
      <c r="G226" s="2">
        <v>27</v>
      </c>
      <c r="H226" s="6">
        <v>3</v>
      </c>
      <c r="I226" s="20">
        <v>5</v>
      </c>
    </row>
    <row r="227" spans="1:9">
      <c r="A227" s="17">
        <v>225</v>
      </c>
      <c r="B227" s="2">
        <v>117</v>
      </c>
      <c r="C227" s="6" t="s">
        <v>873</v>
      </c>
      <c r="D227" s="6" t="s">
        <v>26</v>
      </c>
      <c r="E227" s="6" t="s">
        <v>31</v>
      </c>
      <c r="F227" s="5">
        <v>12832.122590433575</v>
      </c>
      <c r="G227" s="2">
        <v>33</v>
      </c>
      <c r="H227" s="6">
        <v>5</v>
      </c>
      <c r="I227" s="20">
        <v>4</v>
      </c>
    </row>
    <row r="228" spans="1:9">
      <c r="A228" s="17">
        <v>226</v>
      </c>
      <c r="B228" s="2">
        <v>223</v>
      </c>
      <c r="C228" s="6" t="s">
        <v>874</v>
      </c>
      <c r="D228" s="6" t="s">
        <v>29</v>
      </c>
      <c r="E228" s="6" t="s">
        <v>992</v>
      </c>
      <c r="F228" s="5">
        <v>14246.887352309206</v>
      </c>
      <c r="G228" s="2">
        <v>15</v>
      </c>
      <c r="H228" s="6">
        <v>6</v>
      </c>
      <c r="I228" s="20">
        <v>2</v>
      </c>
    </row>
    <row r="229" spans="1:9">
      <c r="A229" s="17">
        <v>227</v>
      </c>
      <c r="B229" s="2">
        <v>224</v>
      </c>
      <c r="C229" s="6" t="s">
        <v>875</v>
      </c>
      <c r="D229" s="6" t="s">
        <v>26</v>
      </c>
      <c r="E229" s="6" t="s">
        <v>992</v>
      </c>
      <c r="F229" s="5">
        <v>14613.067500912441</v>
      </c>
      <c r="G229" s="2">
        <v>23</v>
      </c>
      <c r="H229" s="6">
        <v>4</v>
      </c>
      <c r="I229" s="20">
        <v>2</v>
      </c>
    </row>
    <row r="230" spans="1:9">
      <c r="A230" s="17">
        <v>228</v>
      </c>
      <c r="B230" s="2">
        <v>118</v>
      </c>
      <c r="C230" s="6" t="s">
        <v>876</v>
      </c>
      <c r="D230" s="6" t="s">
        <v>29</v>
      </c>
      <c r="E230" s="6" t="s">
        <v>31</v>
      </c>
      <c r="F230" s="5">
        <v>15224.388048162657</v>
      </c>
      <c r="G230" s="2">
        <v>26</v>
      </c>
      <c r="H230" s="6">
        <v>3</v>
      </c>
      <c r="I230" s="20">
        <v>4</v>
      </c>
    </row>
    <row r="231" spans="1:9">
      <c r="A231" s="17">
        <v>229</v>
      </c>
      <c r="B231" s="2">
        <v>120</v>
      </c>
      <c r="C231" s="6" t="s">
        <v>877</v>
      </c>
      <c r="D231" s="6" t="s">
        <v>26</v>
      </c>
      <c r="E231" s="6" t="s">
        <v>31</v>
      </c>
      <c r="F231" s="5">
        <v>14191.964843101961</v>
      </c>
      <c r="G231" s="2">
        <v>17</v>
      </c>
      <c r="H231" s="6">
        <v>7</v>
      </c>
      <c r="I231" s="20">
        <v>2</v>
      </c>
    </row>
    <row r="232" spans="1:9">
      <c r="A232" s="17">
        <v>230</v>
      </c>
      <c r="B232" s="2">
        <v>230</v>
      </c>
      <c r="C232" s="6" t="s">
        <v>878</v>
      </c>
      <c r="D232" s="6" t="s">
        <v>28</v>
      </c>
      <c r="E232" s="6" t="s">
        <v>992</v>
      </c>
      <c r="F232" s="5">
        <v>13898.345932583472</v>
      </c>
      <c r="G232" s="2">
        <v>18</v>
      </c>
      <c r="H232" s="6">
        <v>4</v>
      </c>
      <c r="I232" s="20">
        <v>1</v>
      </c>
    </row>
    <row r="233" spans="1:9">
      <c r="A233" s="17">
        <v>231</v>
      </c>
      <c r="B233" s="2">
        <v>181</v>
      </c>
      <c r="C233" s="6" t="s">
        <v>879</v>
      </c>
      <c r="D233" s="6" t="s">
        <v>26</v>
      </c>
      <c r="E233" s="6" t="s">
        <v>993</v>
      </c>
      <c r="F233" s="5">
        <v>13271.29014928578</v>
      </c>
      <c r="G233" s="2">
        <v>29</v>
      </c>
      <c r="H233" s="6">
        <v>3</v>
      </c>
      <c r="I233" s="20">
        <v>1</v>
      </c>
    </row>
    <row r="234" spans="1:9">
      <c r="A234" s="17">
        <v>232</v>
      </c>
      <c r="B234" s="2">
        <v>233</v>
      </c>
      <c r="C234" s="6" t="s">
        <v>880</v>
      </c>
      <c r="D234" s="6" t="s">
        <v>26</v>
      </c>
      <c r="E234" s="6" t="s">
        <v>992</v>
      </c>
      <c r="F234" s="5">
        <v>12159.499519592648</v>
      </c>
      <c r="G234" s="2">
        <v>32</v>
      </c>
      <c r="H234" s="6">
        <v>3</v>
      </c>
      <c r="I234" s="20">
        <v>5</v>
      </c>
    </row>
    <row r="235" spans="1:9">
      <c r="A235" s="17">
        <v>233</v>
      </c>
      <c r="B235" s="2">
        <v>183</v>
      </c>
      <c r="C235" s="6" t="s">
        <v>881</v>
      </c>
      <c r="D235" s="6" t="s">
        <v>26</v>
      </c>
      <c r="E235" s="6" t="s">
        <v>993</v>
      </c>
      <c r="F235" s="5">
        <v>14089.416166351659</v>
      </c>
      <c r="G235" s="2">
        <v>20</v>
      </c>
      <c r="H235" s="6">
        <v>3</v>
      </c>
      <c r="I235" s="20">
        <v>1</v>
      </c>
    </row>
    <row r="236" spans="1:9">
      <c r="A236" s="17">
        <v>234</v>
      </c>
      <c r="B236" s="2">
        <v>234</v>
      </c>
      <c r="C236" s="6" t="s">
        <v>882</v>
      </c>
      <c r="D236" s="6" t="s">
        <v>27</v>
      </c>
      <c r="E236" s="6" t="s">
        <v>992</v>
      </c>
      <c r="F236" s="5">
        <v>12876.451350829304</v>
      </c>
      <c r="G236" s="2">
        <v>18</v>
      </c>
      <c r="H236" s="6">
        <v>7</v>
      </c>
      <c r="I236" s="20">
        <v>2</v>
      </c>
    </row>
    <row r="237" spans="1:9">
      <c r="A237" s="17">
        <v>235</v>
      </c>
      <c r="B237" s="2">
        <v>185</v>
      </c>
      <c r="C237" s="6" t="s">
        <v>883</v>
      </c>
      <c r="D237" s="6" t="s">
        <v>26</v>
      </c>
      <c r="E237" s="6" t="s">
        <v>993</v>
      </c>
      <c r="F237" s="5">
        <v>13005.145061450823</v>
      </c>
      <c r="G237" s="2">
        <v>24</v>
      </c>
      <c r="H237" s="6">
        <v>4</v>
      </c>
      <c r="I237" s="20">
        <v>1</v>
      </c>
    </row>
    <row r="238" spans="1:9">
      <c r="A238" s="17">
        <v>236</v>
      </c>
      <c r="B238" s="2">
        <v>128</v>
      </c>
      <c r="C238" s="6" t="s">
        <v>884</v>
      </c>
      <c r="D238" s="6" t="s">
        <v>27</v>
      </c>
      <c r="E238" s="6" t="s">
        <v>31</v>
      </c>
      <c r="F238" s="5">
        <v>12528.895954100155</v>
      </c>
      <c r="G238" s="2">
        <v>14</v>
      </c>
      <c r="H238" s="6">
        <v>6</v>
      </c>
      <c r="I238" s="20">
        <v>2</v>
      </c>
    </row>
    <row r="239" spans="1:9">
      <c r="A239" s="17">
        <v>237</v>
      </c>
      <c r="B239" s="2">
        <v>235</v>
      </c>
      <c r="C239" s="6" t="s">
        <v>885</v>
      </c>
      <c r="D239" s="6" t="s">
        <v>26</v>
      </c>
      <c r="E239" s="6" t="s">
        <v>992</v>
      </c>
      <c r="F239" s="5">
        <v>14860.814062311694</v>
      </c>
      <c r="G239" s="2">
        <v>11</v>
      </c>
      <c r="H239" s="6">
        <v>5</v>
      </c>
      <c r="I239" s="20">
        <v>4</v>
      </c>
    </row>
    <row r="240" spans="1:9">
      <c r="A240" s="17">
        <v>238</v>
      </c>
      <c r="B240" s="2">
        <v>188</v>
      </c>
      <c r="C240" s="6" t="s">
        <v>886</v>
      </c>
      <c r="D240" s="6" t="s">
        <v>29</v>
      </c>
      <c r="E240" s="6" t="s">
        <v>993</v>
      </c>
      <c r="F240" s="5">
        <v>12285.360842023512</v>
      </c>
      <c r="G240" s="2">
        <v>27</v>
      </c>
      <c r="H240" s="6">
        <v>3</v>
      </c>
      <c r="I240" s="20">
        <v>3</v>
      </c>
    </row>
    <row r="241" spans="1:9">
      <c r="A241" s="17">
        <v>239</v>
      </c>
      <c r="B241" s="2">
        <v>192</v>
      </c>
      <c r="C241" s="6" t="s">
        <v>887</v>
      </c>
      <c r="D241" s="6" t="s">
        <v>28</v>
      </c>
      <c r="E241" s="6" t="s">
        <v>993</v>
      </c>
      <c r="F241" s="5">
        <v>11962.157813949309</v>
      </c>
      <c r="G241" s="2">
        <v>27</v>
      </c>
      <c r="H241" s="6">
        <v>3</v>
      </c>
      <c r="I241" s="20">
        <v>3</v>
      </c>
    </row>
    <row r="242" spans="1:9">
      <c r="A242" s="17">
        <v>240</v>
      </c>
      <c r="B242" s="2">
        <v>193</v>
      </c>
      <c r="C242" s="6" t="s">
        <v>888</v>
      </c>
      <c r="D242" s="6" t="s">
        <v>27</v>
      </c>
      <c r="E242" s="6" t="s">
        <v>993</v>
      </c>
      <c r="F242" s="5">
        <v>12806.735069015123</v>
      </c>
      <c r="G242" s="2">
        <v>34</v>
      </c>
      <c r="H242" s="6">
        <v>5</v>
      </c>
      <c r="I242" s="20">
        <v>4</v>
      </c>
    </row>
    <row r="243" spans="1:9">
      <c r="A243" s="17">
        <v>241</v>
      </c>
      <c r="B243" s="2">
        <v>144</v>
      </c>
      <c r="C243" s="6" t="s">
        <v>889</v>
      </c>
      <c r="D243" s="6" t="s">
        <v>26</v>
      </c>
      <c r="E243" s="6" t="s">
        <v>31</v>
      </c>
      <c r="F243" s="5">
        <v>11364.278256886611</v>
      </c>
      <c r="G243" s="2">
        <v>18</v>
      </c>
      <c r="H243" s="6">
        <v>5</v>
      </c>
      <c r="I243" s="20">
        <v>4</v>
      </c>
    </row>
    <row r="244" spans="1:9">
      <c r="A244" s="17">
        <v>242</v>
      </c>
      <c r="B244" s="2">
        <v>147</v>
      </c>
      <c r="C244" s="6" t="s">
        <v>890</v>
      </c>
      <c r="D244" s="6" t="s">
        <v>28</v>
      </c>
      <c r="E244" s="6" t="s">
        <v>31</v>
      </c>
      <c r="F244" s="5">
        <v>12399.997726541917</v>
      </c>
      <c r="G244" s="2">
        <v>21</v>
      </c>
      <c r="H244" s="6">
        <v>5</v>
      </c>
      <c r="I244" s="20">
        <v>2</v>
      </c>
    </row>
    <row r="245" spans="1:9">
      <c r="A245" s="17">
        <v>243</v>
      </c>
      <c r="B245" s="2">
        <v>236</v>
      </c>
      <c r="C245" s="6" t="s">
        <v>891</v>
      </c>
      <c r="D245" s="6" t="s">
        <v>27</v>
      </c>
      <c r="E245" s="6" t="s">
        <v>992</v>
      </c>
      <c r="F245" s="5">
        <v>14196.147728606595</v>
      </c>
      <c r="G245" s="2">
        <v>35</v>
      </c>
      <c r="H245" s="6">
        <v>7</v>
      </c>
      <c r="I245" s="20">
        <v>2</v>
      </c>
    </row>
    <row r="246" spans="1:9">
      <c r="A246" s="17">
        <v>244</v>
      </c>
      <c r="B246" s="2">
        <v>148</v>
      </c>
      <c r="C246" s="6" t="s">
        <v>892</v>
      </c>
      <c r="D246" s="6" t="s">
        <v>27</v>
      </c>
      <c r="E246" s="6" t="s">
        <v>31</v>
      </c>
      <c r="F246" s="5">
        <v>13368.99325995437</v>
      </c>
      <c r="G246" s="2">
        <v>26</v>
      </c>
      <c r="H246" s="6">
        <v>7</v>
      </c>
      <c r="I246" s="20">
        <v>2</v>
      </c>
    </row>
    <row r="247" spans="1:9">
      <c r="A247" s="17">
        <v>245</v>
      </c>
      <c r="B247" s="2">
        <v>149</v>
      </c>
      <c r="C247" s="6" t="s">
        <v>893</v>
      </c>
      <c r="D247" s="6" t="s">
        <v>29</v>
      </c>
      <c r="E247" s="6" t="s">
        <v>31</v>
      </c>
      <c r="F247" s="5">
        <v>14011.432373062054</v>
      </c>
      <c r="G247" s="2">
        <v>34</v>
      </c>
      <c r="H247" s="6">
        <v>4</v>
      </c>
      <c r="I247" s="20">
        <v>3</v>
      </c>
    </row>
    <row r="248" spans="1:9">
      <c r="A248" s="17">
        <v>246</v>
      </c>
      <c r="B248" s="2">
        <v>152</v>
      </c>
      <c r="C248" s="6" t="s">
        <v>894</v>
      </c>
      <c r="D248" s="6" t="s">
        <v>28</v>
      </c>
      <c r="E248" s="6" t="s">
        <v>31</v>
      </c>
      <c r="F248" s="5">
        <v>12041.195040845925</v>
      </c>
      <c r="G248" s="2">
        <v>12</v>
      </c>
      <c r="H248" s="6">
        <v>7</v>
      </c>
      <c r="I248" s="20">
        <v>5</v>
      </c>
    </row>
    <row r="249" spans="1:9">
      <c r="A249" s="17">
        <v>247</v>
      </c>
      <c r="B249" s="2">
        <v>158</v>
      </c>
      <c r="C249" s="6" t="s">
        <v>895</v>
      </c>
      <c r="D249" s="6" t="s">
        <v>26</v>
      </c>
      <c r="E249" s="6" t="s">
        <v>31</v>
      </c>
      <c r="F249" s="5">
        <v>14060.858061137698</v>
      </c>
      <c r="G249" s="2">
        <v>29</v>
      </c>
      <c r="H249" s="6">
        <v>6</v>
      </c>
      <c r="I249" s="20">
        <v>4</v>
      </c>
    </row>
    <row r="250" spans="1:9">
      <c r="A250" s="17">
        <v>248</v>
      </c>
      <c r="B250" s="2">
        <v>194</v>
      </c>
      <c r="C250" s="6" t="s">
        <v>896</v>
      </c>
      <c r="D250" s="6" t="s">
        <v>26</v>
      </c>
      <c r="E250" s="6" t="s">
        <v>993</v>
      </c>
      <c r="F250" s="5">
        <v>15670.34008506089</v>
      </c>
      <c r="G250" s="2">
        <v>24</v>
      </c>
      <c r="H250" s="6">
        <v>5</v>
      </c>
      <c r="I250" s="20">
        <v>2</v>
      </c>
    </row>
    <row r="251" spans="1:9">
      <c r="A251" s="17">
        <v>249</v>
      </c>
      <c r="B251" s="2">
        <v>160</v>
      </c>
      <c r="C251" s="6" t="s">
        <v>897</v>
      </c>
      <c r="D251" s="6" t="s">
        <v>26</v>
      </c>
      <c r="E251" s="6" t="s">
        <v>31</v>
      </c>
      <c r="F251" s="5">
        <v>12869.500060086286</v>
      </c>
      <c r="G251" s="2">
        <v>20</v>
      </c>
      <c r="H251" s="6">
        <v>6</v>
      </c>
      <c r="I251" s="20">
        <v>4</v>
      </c>
    </row>
    <row r="252" spans="1:9">
      <c r="A252" s="17">
        <v>250</v>
      </c>
      <c r="B252" s="2">
        <v>240</v>
      </c>
      <c r="C252" s="6" t="s">
        <v>898</v>
      </c>
      <c r="D252" s="6" t="s">
        <v>27</v>
      </c>
      <c r="E252" s="6" t="s">
        <v>992</v>
      </c>
      <c r="F252" s="5">
        <v>13915.524212715174</v>
      </c>
      <c r="G252" s="2">
        <v>24</v>
      </c>
      <c r="H252" s="6">
        <v>3</v>
      </c>
      <c r="I252" s="20">
        <v>2</v>
      </c>
    </row>
    <row r="253" spans="1:9">
      <c r="A253" s="17">
        <v>251</v>
      </c>
      <c r="B253" s="2">
        <v>243</v>
      </c>
      <c r="C253" s="6" t="s">
        <v>899</v>
      </c>
      <c r="D253" s="6" t="s">
        <v>29</v>
      </c>
      <c r="E253" s="6" t="s">
        <v>992</v>
      </c>
      <c r="F253" s="5">
        <v>13779.269088198636</v>
      </c>
      <c r="G253" s="2">
        <v>11</v>
      </c>
      <c r="H253" s="6">
        <v>3</v>
      </c>
      <c r="I253" s="20">
        <v>4</v>
      </c>
    </row>
    <row r="254" spans="1:9">
      <c r="A254" s="17">
        <v>252</v>
      </c>
      <c r="B254" s="2">
        <v>161</v>
      </c>
      <c r="C254" s="6" t="s">
        <v>900</v>
      </c>
      <c r="D254" s="6" t="s">
        <v>26</v>
      </c>
      <c r="E254" s="6" t="s">
        <v>31</v>
      </c>
      <c r="F254" s="5">
        <v>13042.009524932657</v>
      </c>
      <c r="G254" s="2">
        <v>19</v>
      </c>
      <c r="H254" s="6">
        <v>4</v>
      </c>
      <c r="I254" s="20">
        <v>2</v>
      </c>
    </row>
    <row r="255" spans="1:9">
      <c r="A255" s="17">
        <v>253</v>
      </c>
      <c r="B255" s="2">
        <v>195</v>
      </c>
      <c r="C255" s="6" t="s">
        <v>901</v>
      </c>
      <c r="D255" s="6" t="s">
        <v>29</v>
      </c>
      <c r="E255" s="6" t="s">
        <v>993</v>
      </c>
      <c r="F255" s="5">
        <v>12895.11380694312</v>
      </c>
      <c r="G255" s="2">
        <v>29</v>
      </c>
      <c r="H255" s="6">
        <v>3</v>
      </c>
      <c r="I255" s="20">
        <v>1</v>
      </c>
    </row>
    <row r="256" spans="1:9">
      <c r="A256" s="17">
        <v>254</v>
      </c>
      <c r="B256" s="2">
        <v>162</v>
      </c>
      <c r="C256" s="6" t="s">
        <v>902</v>
      </c>
      <c r="D256" s="6" t="s">
        <v>27</v>
      </c>
      <c r="E256" s="6" t="s">
        <v>31</v>
      </c>
      <c r="F256" s="5">
        <v>12639.990925189342</v>
      </c>
      <c r="G256" s="2">
        <v>35</v>
      </c>
      <c r="H256" s="6">
        <v>5</v>
      </c>
      <c r="I256" s="20">
        <v>4</v>
      </c>
    </row>
    <row r="257" spans="1:9">
      <c r="A257" s="17">
        <v>255</v>
      </c>
      <c r="B257" s="2">
        <v>245</v>
      </c>
      <c r="C257" s="6" t="s">
        <v>903</v>
      </c>
      <c r="D257" s="6" t="s">
        <v>29</v>
      </c>
      <c r="E257" s="6" t="s">
        <v>992</v>
      </c>
      <c r="F257" s="5">
        <v>12655.097757241312</v>
      </c>
      <c r="G257" s="2">
        <v>25</v>
      </c>
      <c r="H257" s="6">
        <v>3</v>
      </c>
      <c r="I257" s="20">
        <v>1</v>
      </c>
    </row>
    <row r="258" spans="1:9">
      <c r="A258" s="17">
        <v>256</v>
      </c>
      <c r="B258" s="2">
        <v>246</v>
      </c>
      <c r="C258" s="6" t="s">
        <v>904</v>
      </c>
      <c r="D258" s="6" t="s">
        <v>29</v>
      </c>
      <c r="E258" s="6" t="s">
        <v>992</v>
      </c>
      <c r="F258" s="5">
        <v>14603.264398582543</v>
      </c>
      <c r="G258" s="2">
        <v>31</v>
      </c>
      <c r="H258" s="6">
        <v>4</v>
      </c>
      <c r="I258" s="20">
        <v>1</v>
      </c>
    </row>
    <row r="259" spans="1:9">
      <c r="A259" s="17">
        <v>257</v>
      </c>
      <c r="B259" s="2">
        <v>196</v>
      </c>
      <c r="C259" s="6" t="s">
        <v>905</v>
      </c>
      <c r="D259" s="6" t="s">
        <v>29</v>
      </c>
      <c r="E259" s="6" t="s">
        <v>993</v>
      </c>
      <c r="F259" s="5">
        <v>12562.630965684368</v>
      </c>
      <c r="G259" s="2">
        <v>18</v>
      </c>
      <c r="H259" s="6">
        <v>5</v>
      </c>
      <c r="I259" s="20">
        <v>2</v>
      </c>
    </row>
    <row r="260" spans="1:9">
      <c r="A260" s="17">
        <v>258</v>
      </c>
      <c r="B260" s="2">
        <v>247</v>
      </c>
      <c r="C260" s="6" t="s">
        <v>906</v>
      </c>
      <c r="D260" s="6" t="s">
        <v>27</v>
      </c>
      <c r="E260" s="6" t="s">
        <v>992</v>
      </c>
      <c r="F260" s="5">
        <v>14234.638044607711</v>
      </c>
      <c r="G260" s="2">
        <v>16</v>
      </c>
      <c r="H260" s="6">
        <v>7</v>
      </c>
      <c r="I260" s="20">
        <v>2</v>
      </c>
    </row>
    <row r="261" spans="1:9">
      <c r="A261" s="17">
        <v>259</v>
      </c>
      <c r="B261" s="2">
        <v>255</v>
      </c>
      <c r="C261" s="6" t="s">
        <v>907</v>
      </c>
      <c r="D261" s="6" t="s">
        <v>29</v>
      </c>
      <c r="E261" s="6" t="s">
        <v>992</v>
      </c>
      <c r="F261" s="5">
        <v>13810.771551769723</v>
      </c>
      <c r="G261" s="2">
        <v>12</v>
      </c>
      <c r="H261" s="6">
        <v>7</v>
      </c>
      <c r="I261" s="20">
        <v>4</v>
      </c>
    </row>
    <row r="262" spans="1:9">
      <c r="A262" s="17">
        <v>260</v>
      </c>
      <c r="B262" s="2">
        <v>260</v>
      </c>
      <c r="C262" s="6" t="s">
        <v>908</v>
      </c>
      <c r="D262" s="6" t="s">
        <v>26</v>
      </c>
      <c r="E262" s="6" t="s">
        <v>992</v>
      </c>
      <c r="F262" s="5">
        <v>13138.701476444841</v>
      </c>
      <c r="G262" s="2">
        <v>13</v>
      </c>
      <c r="H262" s="6">
        <v>7</v>
      </c>
      <c r="I262" s="20">
        <v>2</v>
      </c>
    </row>
    <row r="263" spans="1:9">
      <c r="A263" s="17">
        <v>261</v>
      </c>
      <c r="B263" s="2">
        <v>264</v>
      </c>
      <c r="C263" s="6" t="s">
        <v>909</v>
      </c>
      <c r="D263" s="6" t="s">
        <v>29</v>
      </c>
      <c r="E263" s="6" t="s">
        <v>992</v>
      </c>
      <c r="F263" s="5">
        <v>13711.311195019154</v>
      </c>
      <c r="G263" s="2">
        <v>33</v>
      </c>
      <c r="H263" s="6">
        <v>7</v>
      </c>
      <c r="I263" s="20">
        <v>2</v>
      </c>
    </row>
    <row r="264" spans="1:9">
      <c r="A264" s="17">
        <v>262</v>
      </c>
      <c r="B264" s="2">
        <v>265</v>
      </c>
      <c r="C264" s="6" t="s">
        <v>910</v>
      </c>
      <c r="D264" s="6" t="s">
        <v>29</v>
      </c>
      <c r="E264" s="6" t="s">
        <v>992</v>
      </c>
      <c r="F264" s="5">
        <v>12821.170080068261</v>
      </c>
      <c r="G264" s="2">
        <v>14</v>
      </c>
      <c r="H264" s="6">
        <v>6</v>
      </c>
      <c r="I264" s="20">
        <v>1</v>
      </c>
    </row>
    <row r="265" spans="1:9">
      <c r="A265" s="17">
        <v>263</v>
      </c>
      <c r="B265" s="2">
        <v>199</v>
      </c>
      <c r="C265" s="6" t="s">
        <v>911</v>
      </c>
      <c r="D265" s="6" t="s">
        <v>28</v>
      </c>
      <c r="E265" s="6" t="s">
        <v>993</v>
      </c>
      <c r="F265" s="5">
        <v>14089.072257983209</v>
      </c>
      <c r="G265" s="2">
        <v>15</v>
      </c>
      <c r="H265" s="6">
        <v>4</v>
      </c>
      <c r="I265" s="20">
        <v>5</v>
      </c>
    </row>
    <row r="266" spans="1:9">
      <c r="A266" s="17">
        <v>264</v>
      </c>
      <c r="B266" s="2">
        <v>203</v>
      </c>
      <c r="C266" s="6" t="s">
        <v>912</v>
      </c>
      <c r="D266" s="6" t="s">
        <v>27</v>
      </c>
      <c r="E266" s="6" t="s">
        <v>993</v>
      </c>
      <c r="F266" s="5">
        <v>14344.70014803883</v>
      </c>
      <c r="G266" s="2">
        <v>20</v>
      </c>
      <c r="H266" s="6">
        <v>7</v>
      </c>
      <c r="I266" s="20">
        <v>5</v>
      </c>
    </row>
    <row r="267" spans="1:9">
      <c r="A267" s="17">
        <v>265</v>
      </c>
      <c r="B267" s="2">
        <v>268</v>
      </c>
      <c r="C267" s="6" t="s">
        <v>913</v>
      </c>
      <c r="D267" s="6" t="s">
        <v>26</v>
      </c>
      <c r="E267" s="6" t="s">
        <v>992</v>
      </c>
      <c r="F267" s="5">
        <v>13977.949865628763</v>
      </c>
      <c r="G267" s="2">
        <v>28</v>
      </c>
      <c r="H267" s="6">
        <v>6</v>
      </c>
      <c r="I267" s="20">
        <v>5</v>
      </c>
    </row>
    <row r="268" spans="1:9">
      <c r="A268" s="17">
        <v>266</v>
      </c>
      <c r="B268" s="2">
        <v>206</v>
      </c>
      <c r="C268" s="6" t="s">
        <v>914</v>
      </c>
      <c r="D268" s="6" t="s">
        <v>28</v>
      </c>
      <c r="E268" s="6" t="s">
        <v>993</v>
      </c>
      <c r="F268" s="5">
        <v>13305.781530770038</v>
      </c>
      <c r="G268" s="2">
        <v>28</v>
      </c>
      <c r="H268" s="6">
        <v>5</v>
      </c>
      <c r="I268" s="20">
        <v>5</v>
      </c>
    </row>
    <row r="269" spans="1:9">
      <c r="A269" s="17">
        <v>267</v>
      </c>
      <c r="B269" s="2">
        <v>208</v>
      </c>
      <c r="C269" s="6" t="s">
        <v>915</v>
      </c>
      <c r="D269" s="6" t="s">
        <v>28</v>
      </c>
      <c r="E269" s="6" t="s">
        <v>993</v>
      </c>
      <c r="F269" s="5">
        <v>13160.067212292053</v>
      </c>
      <c r="G269" s="2">
        <v>21</v>
      </c>
      <c r="H269" s="6">
        <v>6</v>
      </c>
      <c r="I269" s="20">
        <v>5</v>
      </c>
    </row>
    <row r="270" spans="1:9">
      <c r="A270" s="17">
        <v>268</v>
      </c>
      <c r="B270" s="2">
        <v>269</v>
      </c>
      <c r="C270" s="6" t="s">
        <v>916</v>
      </c>
      <c r="D270" s="6" t="s">
        <v>27</v>
      </c>
      <c r="E270" s="6" t="s">
        <v>992</v>
      </c>
      <c r="F270" s="5">
        <v>14294.742030396084</v>
      </c>
      <c r="G270" s="2">
        <v>25</v>
      </c>
      <c r="H270" s="6">
        <v>4</v>
      </c>
      <c r="I270" s="20">
        <v>3</v>
      </c>
    </row>
    <row r="271" spans="1:9">
      <c r="A271" s="17">
        <v>269</v>
      </c>
      <c r="B271" s="2">
        <v>214</v>
      </c>
      <c r="C271" s="6" t="s">
        <v>917</v>
      </c>
      <c r="D271" s="6" t="s">
        <v>27</v>
      </c>
      <c r="E271" s="6" t="s">
        <v>993</v>
      </c>
      <c r="F271" s="5">
        <v>15254.345780457517</v>
      </c>
      <c r="G271" s="2">
        <v>13</v>
      </c>
      <c r="H271" s="6">
        <v>6</v>
      </c>
      <c r="I271" s="20">
        <v>3</v>
      </c>
    </row>
    <row r="272" spans="1:9">
      <c r="A272" s="17">
        <v>270</v>
      </c>
      <c r="B272" s="2">
        <v>216</v>
      </c>
      <c r="C272" s="6" t="s">
        <v>918</v>
      </c>
      <c r="D272" s="6" t="s">
        <v>27</v>
      </c>
      <c r="E272" s="6" t="s">
        <v>993</v>
      </c>
      <c r="F272" s="5">
        <v>13999.229910022043</v>
      </c>
      <c r="G272" s="2">
        <v>17</v>
      </c>
      <c r="H272" s="6">
        <v>6</v>
      </c>
      <c r="I272" s="20">
        <v>3</v>
      </c>
    </row>
    <row r="273" spans="1:9">
      <c r="A273" s="17">
        <v>271</v>
      </c>
      <c r="B273" s="2">
        <v>166</v>
      </c>
      <c r="C273" s="6" t="s">
        <v>919</v>
      </c>
      <c r="D273" s="6" t="s">
        <v>28</v>
      </c>
      <c r="E273" s="6" t="s">
        <v>31</v>
      </c>
      <c r="F273" s="5">
        <v>11804.206755849738</v>
      </c>
      <c r="G273" s="2">
        <v>29</v>
      </c>
      <c r="H273" s="6">
        <v>5</v>
      </c>
      <c r="I273" s="20">
        <v>4</v>
      </c>
    </row>
    <row r="274" spans="1:9">
      <c r="A274" s="17">
        <v>272</v>
      </c>
      <c r="B274" s="2">
        <v>218</v>
      </c>
      <c r="C274" s="6" t="s">
        <v>920</v>
      </c>
      <c r="D274" s="6" t="s">
        <v>27</v>
      </c>
      <c r="E274" s="6" t="s">
        <v>993</v>
      </c>
      <c r="F274" s="5">
        <v>14470.097594065739</v>
      </c>
      <c r="G274" s="2">
        <v>25</v>
      </c>
      <c r="H274" s="6">
        <v>5</v>
      </c>
      <c r="I274" s="20">
        <v>3</v>
      </c>
    </row>
    <row r="275" spans="1:9">
      <c r="A275" s="17">
        <v>273</v>
      </c>
      <c r="B275" s="2">
        <v>219</v>
      </c>
      <c r="C275" s="6" t="s">
        <v>921</v>
      </c>
      <c r="D275" s="6" t="s">
        <v>26</v>
      </c>
      <c r="E275" s="6" t="s">
        <v>993</v>
      </c>
      <c r="F275" s="5">
        <v>11886.986985454134</v>
      </c>
      <c r="G275" s="2">
        <v>26</v>
      </c>
      <c r="H275" s="6">
        <v>6</v>
      </c>
      <c r="I275" s="20">
        <v>4</v>
      </c>
    </row>
    <row r="276" spans="1:9">
      <c r="A276" s="17">
        <v>274</v>
      </c>
      <c r="B276" s="2">
        <v>271</v>
      </c>
      <c r="C276" s="6" t="s">
        <v>922</v>
      </c>
      <c r="D276" s="6" t="s">
        <v>28</v>
      </c>
      <c r="E276" s="6" t="s">
        <v>992</v>
      </c>
      <c r="F276" s="5">
        <v>12918.906324765705</v>
      </c>
      <c r="G276" s="2">
        <v>25</v>
      </c>
      <c r="H276" s="6">
        <v>4</v>
      </c>
      <c r="I276" s="20">
        <v>2</v>
      </c>
    </row>
    <row r="277" spans="1:9">
      <c r="A277" s="17">
        <v>275</v>
      </c>
      <c r="B277" s="2">
        <v>273</v>
      </c>
      <c r="C277" s="6" t="s">
        <v>923</v>
      </c>
      <c r="D277" s="6" t="s">
        <v>26</v>
      </c>
      <c r="E277" s="6" t="s">
        <v>992</v>
      </c>
      <c r="F277" s="5">
        <v>14246.79366298624</v>
      </c>
      <c r="G277" s="2">
        <v>33</v>
      </c>
      <c r="H277" s="6">
        <v>6</v>
      </c>
      <c r="I277" s="20">
        <v>1</v>
      </c>
    </row>
    <row r="278" spans="1:9">
      <c r="A278" s="17">
        <v>276</v>
      </c>
      <c r="B278" s="2">
        <v>220</v>
      </c>
      <c r="C278" s="6" t="s">
        <v>924</v>
      </c>
      <c r="D278" s="6" t="s">
        <v>29</v>
      </c>
      <c r="E278" s="6" t="s">
        <v>993</v>
      </c>
      <c r="F278" s="5">
        <v>14834.128601004342</v>
      </c>
      <c r="G278" s="2">
        <v>15</v>
      </c>
      <c r="H278" s="6">
        <v>5</v>
      </c>
      <c r="I278" s="20">
        <v>1</v>
      </c>
    </row>
    <row r="279" spans="1:9">
      <c r="A279" s="17">
        <v>277</v>
      </c>
      <c r="B279" s="2">
        <v>275</v>
      </c>
      <c r="C279" s="6" t="s">
        <v>925</v>
      </c>
      <c r="D279" s="6" t="s">
        <v>27</v>
      </c>
      <c r="E279" s="6" t="s">
        <v>992</v>
      </c>
      <c r="F279" s="5">
        <v>13102.748770032851</v>
      </c>
      <c r="G279" s="2">
        <v>23</v>
      </c>
      <c r="H279" s="6">
        <v>7</v>
      </c>
      <c r="I279" s="20">
        <v>4</v>
      </c>
    </row>
    <row r="280" spans="1:9">
      <c r="A280" s="17">
        <v>278</v>
      </c>
      <c r="B280" s="2">
        <v>228</v>
      </c>
      <c r="C280" s="6" t="s">
        <v>926</v>
      </c>
      <c r="D280" s="6" t="s">
        <v>29</v>
      </c>
      <c r="E280" s="6" t="s">
        <v>993</v>
      </c>
      <c r="F280" s="5">
        <v>14104.533281378101</v>
      </c>
      <c r="G280" s="2">
        <v>27</v>
      </c>
      <c r="H280" s="6">
        <v>5</v>
      </c>
      <c r="I280" s="20">
        <v>5</v>
      </c>
    </row>
    <row r="281" spans="1:9">
      <c r="A281" s="17">
        <v>279</v>
      </c>
      <c r="B281" s="2">
        <v>168</v>
      </c>
      <c r="C281" s="6" t="s">
        <v>927</v>
      </c>
      <c r="D281" s="6" t="s">
        <v>28</v>
      </c>
      <c r="E281" s="6" t="s">
        <v>31</v>
      </c>
      <c r="F281" s="5">
        <v>13255.696589775473</v>
      </c>
      <c r="G281" s="2">
        <v>16</v>
      </c>
      <c r="H281" s="6">
        <v>7</v>
      </c>
      <c r="I281" s="20">
        <v>2</v>
      </c>
    </row>
    <row r="282" spans="1:9">
      <c r="A282" s="17">
        <v>280</v>
      </c>
      <c r="B282" s="2">
        <v>231</v>
      </c>
      <c r="C282" s="6" t="s">
        <v>928</v>
      </c>
      <c r="D282" s="6" t="s">
        <v>27</v>
      </c>
      <c r="E282" s="6" t="s">
        <v>993</v>
      </c>
      <c r="F282" s="5">
        <v>12767.440395899759</v>
      </c>
      <c r="G282" s="2">
        <v>35</v>
      </c>
      <c r="H282" s="6">
        <v>5</v>
      </c>
      <c r="I282" s="20">
        <v>2</v>
      </c>
    </row>
    <row r="283" spans="1:9">
      <c r="A283" s="17">
        <v>281</v>
      </c>
      <c r="B283" s="2">
        <v>177</v>
      </c>
      <c r="C283" s="6" t="s">
        <v>929</v>
      </c>
      <c r="D283" s="6" t="s">
        <v>26</v>
      </c>
      <c r="E283" s="6" t="s">
        <v>31</v>
      </c>
      <c r="F283" s="5">
        <v>14020.100920541883</v>
      </c>
      <c r="G283" s="2">
        <v>24</v>
      </c>
      <c r="H283" s="6">
        <v>5</v>
      </c>
      <c r="I283" s="20">
        <v>5</v>
      </c>
    </row>
    <row r="284" spans="1:9">
      <c r="A284" s="17">
        <v>282</v>
      </c>
      <c r="B284" s="2">
        <v>276</v>
      </c>
      <c r="C284" s="6" t="s">
        <v>930</v>
      </c>
      <c r="D284" s="6" t="s">
        <v>27</v>
      </c>
      <c r="E284" s="6" t="s">
        <v>992</v>
      </c>
      <c r="F284" s="5">
        <v>12791.596245487019</v>
      </c>
      <c r="G284" s="2">
        <v>16</v>
      </c>
      <c r="H284" s="6">
        <v>6</v>
      </c>
      <c r="I284" s="20">
        <v>3</v>
      </c>
    </row>
    <row r="285" spans="1:9">
      <c r="A285" s="17">
        <v>283</v>
      </c>
      <c r="B285" s="2">
        <v>282</v>
      </c>
      <c r="C285" s="6" t="s">
        <v>931</v>
      </c>
      <c r="D285" s="6" t="s">
        <v>28</v>
      </c>
      <c r="E285" s="6" t="s">
        <v>992</v>
      </c>
      <c r="F285" s="5">
        <v>14336.997057606643</v>
      </c>
      <c r="G285" s="2">
        <v>17</v>
      </c>
      <c r="H285" s="6">
        <v>5</v>
      </c>
      <c r="I285" s="20">
        <v>1</v>
      </c>
    </row>
    <row r="286" spans="1:9">
      <c r="A286" s="17">
        <v>284</v>
      </c>
      <c r="B286" s="2">
        <v>180</v>
      </c>
      <c r="C286" s="6" t="s">
        <v>932</v>
      </c>
      <c r="D286" s="6" t="s">
        <v>26</v>
      </c>
      <c r="E286" s="6" t="s">
        <v>31</v>
      </c>
      <c r="F286" s="5">
        <v>12080.151518356435</v>
      </c>
      <c r="G286" s="2">
        <v>20</v>
      </c>
      <c r="H286" s="6">
        <v>7</v>
      </c>
      <c r="I286" s="20">
        <v>5</v>
      </c>
    </row>
    <row r="287" spans="1:9">
      <c r="A287" s="17">
        <v>285</v>
      </c>
      <c r="B287" s="2">
        <v>284</v>
      </c>
      <c r="C287" s="6" t="s">
        <v>933</v>
      </c>
      <c r="D287" s="6" t="s">
        <v>29</v>
      </c>
      <c r="E287" s="6" t="s">
        <v>992</v>
      </c>
      <c r="F287" s="5">
        <v>15764.824624719769</v>
      </c>
      <c r="G287" s="2">
        <v>30</v>
      </c>
      <c r="H287" s="6">
        <v>4</v>
      </c>
      <c r="I287" s="20">
        <v>5</v>
      </c>
    </row>
    <row r="288" spans="1:9">
      <c r="A288" s="17">
        <v>286</v>
      </c>
      <c r="B288" s="2">
        <v>286</v>
      </c>
      <c r="C288" s="6" t="s">
        <v>354</v>
      </c>
      <c r="D288" s="6" t="s">
        <v>26</v>
      </c>
      <c r="E288" s="6" t="s">
        <v>992</v>
      </c>
      <c r="F288" s="5">
        <v>12170.550289491805</v>
      </c>
      <c r="G288" s="2">
        <v>29</v>
      </c>
      <c r="H288" s="6">
        <v>7</v>
      </c>
      <c r="I288" s="20">
        <v>4</v>
      </c>
    </row>
    <row r="289" spans="1:12">
      <c r="A289" s="17">
        <v>287</v>
      </c>
      <c r="B289" s="2">
        <v>238</v>
      </c>
      <c r="C289" s="6" t="s">
        <v>355</v>
      </c>
      <c r="D289" s="6" t="s">
        <v>28</v>
      </c>
      <c r="E289" s="6" t="s">
        <v>993</v>
      </c>
      <c r="F289" s="5">
        <v>14573.069015322109</v>
      </c>
      <c r="G289" s="2">
        <v>16</v>
      </c>
      <c r="H289" s="6">
        <v>5</v>
      </c>
      <c r="I289" s="20">
        <v>5</v>
      </c>
    </row>
    <row r="290" spans="1:12">
      <c r="A290" s="17">
        <v>288</v>
      </c>
      <c r="B290" s="2">
        <v>239</v>
      </c>
      <c r="C290" s="6" t="s">
        <v>356</v>
      </c>
      <c r="D290" s="6" t="s">
        <v>27</v>
      </c>
      <c r="E290" s="6" t="s">
        <v>993</v>
      </c>
      <c r="F290" s="5">
        <v>12810.754569480925</v>
      </c>
      <c r="G290" s="2">
        <v>23</v>
      </c>
      <c r="H290" s="6">
        <v>7</v>
      </c>
      <c r="I290" s="20">
        <v>4</v>
      </c>
    </row>
    <row r="291" spans="1:12">
      <c r="A291" s="17">
        <v>289</v>
      </c>
      <c r="B291" s="2">
        <v>291</v>
      </c>
      <c r="C291" s="6" t="s">
        <v>357</v>
      </c>
      <c r="D291" s="6" t="s">
        <v>27</v>
      </c>
      <c r="E291" s="6" t="s">
        <v>992</v>
      </c>
      <c r="F291" s="5">
        <v>13391.651222926886</v>
      </c>
      <c r="G291" s="2">
        <v>26</v>
      </c>
      <c r="H291" s="6">
        <v>4</v>
      </c>
      <c r="I291" s="20">
        <v>2</v>
      </c>
    </row>
    <row r="292" spans="1:12">
      <c r="A292" s="17">
        <v>290</v>
      </c>
      <c r="B292" s="2">
        <v>244</v>
      </c>
      <c r="C292" s="6" t="s">
        <v>358</v>
      </c>
      <c r="D292" s="6" t="s">
        <v>27</v>
      </c>
      <c r="E292" s="6" t="s">
        <v>993</v>
      </c>
      <c r="F292" s="5">
        <v>13384.638234337037</v>
      </c>
      <c r="G292" s="2">
        <v>17</v>
      </c>
      <c r="H292" s="6">
        <v>4</v>
      </c>
      <c r="I292" s="20">
        <v>5</v>
      </c>
    </row>
    <row r="293" spans="1:12">
      <c r="A293" s="17">
        <v>291</v>
      </c>
      <c r="B293" s="2">
        <v>249</v>
      </c>
      <c r="C293" s="6" t="s">
        <v>359</v>
      </c>
      <c r="D293" s="6" t="s">
        <v>27</v>
      </c>
      <c r="E293" s="6" t="s">
        <v>993</v>
      </c>
      <c r="F293" s="5">
        <v>12770.609837142549</v>
      </c>
      <c r="G293" s="2">
        <v>28</v>
      </c>
      <c r="H293" s="6">
        <v>7</v>
      </c>
      <c r="I293" s="20">
        <v>5</v>
      </c>
    </row>
    <row r="294" spans="1:12">
      <c r="A294" s="17">
        <v>292</v>
      </c>
      <c r="B294" s="2">
        <v>296</v>
      </c>
      <c r="C294" s="6" t="s">
        <v>360</v>
      </c>
      <c r="D294" s="6" t="s">
        <v>26</v>
      </c>
      <c r="E294" s="6" t="s">
        <v>992</v>
      </c>
      <c r="F294" s="5">
        <v>12910.986149316888</v>
      </c>
      <c r="G294" s="2">
        <v>23</v>
      </c>
      <c r="H294" s="6">
        <v>6</v>
      </c>
      <c r="I294" s="20">
        <v>4</v>
      </c>
    </row>
    <row r="295" spans="1:12">
      <c r="A295" s="17">
        <v>293</v>
      </c>
      <c r="B295" s="2">
        <v>182</v>
      </c>
      <c r="C295" s="6" t="s">
        <v>361</v>
      </c>
      <c r="D295" s="6" t="s">
        <v>29</v>
      </c>
      <c r="E295" s="6" t="s">
        <v>31</v>
      </c>
      <c r="F295" s="5">
        <v>12286.279454409671</v>
      </c>
      <c r="G295" s="2">
        <v>13</v>
      </c>
      <c r="H295" s="6">
        <v>3</v>
      </c>
      <c r="I295" s="20">
        <v>1</v>
      </c>
    </row>
    <row r="296" spans="1:12">
      <c r="A296" s="17">
        <v>294</v>
      </c>
      <c r="B296" s="2">
        <v>184</v>
      </c>
      <c r="C296" s="6" t="s">
        <v>362</v>
      </c>
      <c r="D296" s="6" t="s">
        <v>29</v>
      </c>
      <c r="E296" s="6" t="s">
        <v>31</v>
      </c>
      <c r="F296" s="5">
        <v>13527.07228395848</v>
      </c>
      <c r="G296" s="2">
        <v>19</v>
      </c>
      <c r="H296" s="6">
        <v>5</v>
      </c>
      <c r="I296" s="20">
        <v>2</v>
      </c>
    </row>
    <row r="297" spans="1:12">
      <c r="A297" s="17">
        <v>295</v>
      </c>
      <c r="B297" s="2">
        <v>300</v>
      </c>
      <c r="C297" s="6" t="s">
        <v>363</v>
      </c>
      <c r="D297" s="6" t="s">
        <v>28</v>
      </c>
      <c r="E297" s="6" t="s">
        <v>992</v>
      </c>
      <c r="F297" s="5">
        <v>13660.117977887059</v>
      </c>
      <c r="G297" s="2">
        <v>13</v>
      </c>
      <c r="H297" s="6">
        <v>3</v>
      </c>
      <c r="I297" s="20">
        <v>5</v>
      </c>
    </row>
    <row r="298" spans="1:12">
      <c r="A298" s="17">
        <v>296</v>
      </c>
      <c r="B298" s="2">
        <v>186</v>
      </c>
      <c r="C298" s="6" t="s">
        <v>364</v>
      </c>
      <c r="D298" s="6" t="s">
        <v>26</v>
      </c>
      <c r="E298" s="6" t="s">
        <v>31</v>
      </c>
      <c r="F298" s="5">
        <v>13629.194788544557</v>
      </c>
      <c r="G298" s="2">
        <v>32</v>
      </c>
      <c r="H298" s="6">
        <v>7</v>
      </c>
      <c r="I298" s="20">
        <v>2</v>
      </c>
    </row>
    <row r="299" spans="1:12">
      <c r="A299" s="17">
        <v>297</v>
      </c>
      <c r="B299" s="2">
        <v>187</v>
      </c>
      <c r="C299" s="6" t="s">
        <v>365</v>
      </c>
      <c r="D299" s="6" t="s">
        <v>26</v>
      </c>
      <c r="E299" s="6" t="s">
        <v>31</v>
      </c>
      <c r="F299" s="5">
        <v>13936.515191270521</v>
      </c>
      <c r="G299" s="2">
        <v>27</v>
      </c>
      <c r="H299" s="6">
        <v>5</v>
      </c>
      <c r="I299" s="20">
        <v>5</v>
      </c>
    </row>
    <row r="300" spans="1:12">
      <c r="A300" s="17">
        <v>298</v>
      </c>
      <c r="B300" s="2">
        <v>251</v>
      </c>
      <c r="C300" s="6" t="s">
        <v>366</v>
      </c>
      <c r="D300" s="6" t="s">
        <v>28</v>
      </c>
      <c r="E300" s="6" t="s">
        <v>993</v>
      </c>
      <c r="F300" s="5">
        <v>15321.349642116549</v>
      </c>
      <c r="G300" s="2">
        <v>11</v>
      </c>
      <c r="H300" s="6">
        <v>5</v>
      </c>
      <c r="I300" s="20">
        <v>5</v>
      </c>
    </row>
    <row r="301" spans="1:12">
      <c r="A301" s="17">
        <v>299</v>
      </c>
      <c r="B301" s="2">
        <v>253</v>
      </c>
      <c r="C301" s="6" t="s">
        <v>367</v>
      </c>
      <c r="D301" s="6" t="s">
        <v>29</v>
      </c>
      <c r="E301" s="6" t="s">
        <v>993</v>
      </c>
      <c r="F301" s="5">
        <v>13848.949950878525</v>
      </c>
      <c r="G301" s="2">
        <v>12</v>
      </c>
      <c r="H301" s="6">
        <v>4</v>
      </c>
      <c r="I301" s="20">
        <v>2</v>
      </c>
    </row>
    <row r="302" spans="1:12">
      <c r="A302" s="18">
        <v>300</v>
      </c>
      <c r="B302" s="19">
        <v>254</v>
      </c>
      <c r="C302" s="21" t="s">
        <v>368</v>
      </c>
      <c r="D302" s="21" t="s">
        <v>28</v>
      </c>
      <c r="E302" s="21" t="s">
        <v>993</v>
      </c>
      <c r="F302" s="22">
        <v>12903.319620571712</v>
      </c>
      <c r="G302" s="21">
        <v>17</v>
      </c>
      <c r="H302" s="21">
        <v>6</v>
      </c>
      <c r="I302" s="23">
        <v>1</v>
      </c>
      <c r="K302" s="16"/>
      <c r="L302"/>
    </row>
    <row r="303" spans="1:12">
      <c r="A303" s="18"/>
      <c r="B303" s="19"/>
      <c r="C303" s="21"/>
      <c r="D303" s="21"/>
      <c r="E303" s="21"/>
      <c r="F303" s="22"/>
      <c r="G303" s="19"/>
      <c r="H303" s="21"/>
      <c r="I303" s="23"/>
      <c r="K303" s="16"/>
      <c r="L303"/>
    </row>
    <row r="304" spans="1:12">
      <c r="A304" s="18"/>
      <c r="B304" s="19"/>
      <c r="C304" s="21"/>
      <c r="D304" s="21"/>
      <c r="E304" s="21"/>
      <c r="F304" s="22"/>
      <c r="G304" s="19"/>
      <c r="H304" s="21"/>
      <c r="I304" s="23"/>
      <c r="K304" s="16"/>
      <c r="L304"/>
    </row>
    <row r="305" spans="1:12">
      <c r="A305" s="18"/>
      <c r="B305" s="19"/>
      <c r="C305" s="21"/>
      <c r="D305" s="21"/>
      <c r="E305" s="21"/>
      <c r="F305" s="22"/>
      <c r="G305" s="19"/>
      <c r="H305" s="21"/>
      <c r="I305" s="23"/>
      <c r="K305" s="16"/>
      <c r="L305"/>
    </row>
    <row r="306" spans="1:12">
      <c r="E306" s="7"/>
      <c r="F306"/>
      <c r="G306" s="7"/>
      <c r="I306"/>
      <c r="K306" s="16"/>
      <c r="L306"/>
    </row>
    <row r="307" spans="1:12">
      <c r="E307" s="7"/>
      <c r="F307"/>
      <c r="G307" s="7"/>
      <c r="I307"/>
      <c r="K307" s="16"/>
      <c r="L307"/>
    </row>
    <row r="308" spans="1:12">
      <c r="E308" s="7"/>
      <c r="F308"/>
      <c r="G308" s="7"/>
      <c r="I308"/>
      <c r="K308" s="16"/>
      <c r="L308"/>
    </row>
    <row r="309" spans="1:12">
      <c r="E309" s="7"/>
      <c r="F309"/>
      <c r="G309" s="7"/>
      <c r="I309"/>
      <c r="K309" s="16"/>
      <c r="L309"/>
    </row>
    <row r="310" spans="1:12">
      <c r="E310" s="7"/>
      <c r="F310"/>
      <c r="G310" s="7"/>
      <c r="I310"/>
      <c r="K310" s="16"/>
      <c r="L310"/>
    </row>
    <row r="311" spans="1:12">
      <c r="E311" s="7"/>
      <c r="F311"/>
      <c r="G311" s="7"/>
      <c r="I311"/>
      <c r="K311" s="16"/>
      <c r="L311"/>
    </row>
    <row r="312" spans="1:12">
      <c r="E312" s="7"/>
      <c r="F312"/>
      <c r="G312" s="7"/>
      <c r="I312"/>
      <c r="K312" s="16"/>
      <c r="L312"/>
    </row>
    <row r="313" spans="1:12">
      <c r="E313" s="7"/>
      <c r="F313"/>
      <c r="G313" s="7"/>
      <c r="I313"/>
      <c r="K313" s="16"/>
      <c r="L313"/>
    </row>
    <row r="314" spans="1:12">
      <c r="E314" s="7"/>
      <c r="F314"/>
      <c r="G314" s="7"/>
      <c r="I314"/>
      <c r="K314" s="16"/>
      <c r="L314"/>
    </row>
    <row r="315" spans="1:12">
      <c r="E315" s="7"/>
      <c r="F315"/>
      <c r="G315" s="7"/>
      <c r="I315"/>
      <c r="K315" s="16"/>
      <c r="L315"/>
    </row>
    <row r="316" spans="1:12">
      <c r="E316" s="7"/>
      <c r="F316"/>
      <c r="G316" s="7"/>
      <c r="I316"/>
      <c r="K316" s="16"/>
      <c r="L316"/>
    </row>
    <row r="317" spans="1:12">
      <c r="E317" s="7"/>
      <c r="F317"/>
      <c r="G317" s="7"/>
      <c r="I317"/>
      <c r="K317" s="16"/>
      <c r="L317"/>
    </row>
    <row r="318" spans="1:12">
      <c r="E318" s="7"/>
      <c r="F318"/>
      <c r="G318" s="7"/>
      <c r="I318"/>
      <c r="K318" s="16"/>
      <c r="L318"/>
    </row>
    <row r="319" spans="1:12">
      <c r="E319" s="7"/>
      <c r="F319"/>
      <c r="G319" s="7"/>
      <c r="I319"/>
      <c r="K319" s="16"/>
      <c r="L319"/>
    </row>
    <row r="320" spans="1:12">
      <c r="E320" s="7"/>
      <c r="F320"/>
      <c r="G320" s="7"/>
      <c r="I320"/>
      <c r="K320" s="16"/>
      <c r="L320"/>
    </row>
    <row r="321" spans="5:12">
      <c r="E321" s="7"/>
      <c r="F321"/>
      <c r="G321" s="7"/>
      <c r="I321"/>
      <c r="K321" s="16"/>
      <c r="L321"/>
    </row>
    <row r="322" spans="5:12">
      <c r="E322" s="7"/>
      <c r="F322"/>
      <c r="G322" s="7"/>
      <c r="I322"/>
      <c r="K322" s="16"/>
      <c r="L322"/>
    </row>
    <row r="323" spans="5:12">
      <c r="E323" s="7"/>
      <c r="F323"/>
      <c r="G323" s="7"/>
      <c r="I323"/>
      <c r="K323" s="16"/>
      <c r="L323"/>
    </row>
    <row r="324" spans="5:12">
      <c r="E324" s="7"/>
      <c r="F324"/>
      <c r="G324" s="7"/>
      <c r="I324"/>
      <c r="K324" s="16"/>
      <c r="L324"/>
    </row>
    <row r="325" spans="5:12">
      <c r="E325" s="7"/>
      <c r="F325"/>
      <c r="G325" s="7"/>
      <c r="I325"/>
      <c r="K325" s="16"/>
      <c r="L325"/>
    </row>
    <row r="326" spans="5:12">
      <c r="E326" s="7"/>
      <c r="F326"/>
      <c r="G326" s="7"/>
      <c r="I326"/>
      <c r="K326" s="16"/>
      <c r="L326"/>
    </row>
    <row r="327" spans="5:12">
      <c r="E327" s="7"/>
      <c r="F327"/>
      <c r="G327" s="7"/>
      <c r="I327"/>
      <c r="K327" s="16"/>
      <c r="L327"/>
    </row>
    <row r="328" spans="5:12">
      <c r="E328" s="7"/>
      <c r="F328"/>
      <c r="G328" s="7"/>
      <c r="I328"/>
      <c r="K328" s="16"/>
      <c r="L328"/>
    </row>
    <row r="329" spans="5:12">
      <c r="E329" s="7"/>
      <c r="F329"/>
      <c r="G329" s="7"/>
      <c r="I329"/>
      <c r="K329" s="16"/>
      <c r="L329"/>
    </row>
    <row r="330" spans="5:12">
      <c r="E330" s="7"/>
      <c r="F330"/>
      <c r="G330" s="7"/>
      <c r="I330"/>
      <c r="K330" s="16"/>
      <c r="L330"/>
    </row>
    <row r="331" spans="5:12">
      <c r="E331" s="7"/>
      <c r="F331"/>
      <c r="G331" s="7"/>
      <c r="I331"/>
      <c r="K331" s="16"/>
      <c r="L331"/>
    </row>
    <row r="332" spans="5:12">
      <c r="E332" s="7"/>
      <c r="F332"/>
      <c r="G332" s="7"/>
      <c r="I332"/>
      <c r="K332" s="16"/>
      <c r="L332"/>
    </row>
    <row r="333" spans="5:12">
      <c r="E333" s="7"/>
      <c r="F333"/>
      <c r="G333" s="7"/>
      <c r="I333"/>
      <c r="K333" s="16"/>
      <c r="L333"/>
    </row>
    <row r="334" spans="5:12">
      <c r="E334" s="7"/>
      <c r="F334"/>
      <c r="G334" s="7"/>
      <c r="I334"/>
      <c r="K334" s="16"/>
      <c r="L334"/>
    </row>
    <row r="335" spans="5:12">
      <c r="E335" s="7"/>
      <c r="F335"/>
      <c r="G335" s="7"/>
      <c r="I335"/>
      <c r="K335" s="16"/>
      <c r="L335"/>
    </row>
    <row r="336" spans="5:12">
      <c r="E336" s="7"/>
      <c r="F336"/>
      <c r="G336" s="7"/>
      <c r="I336"/>
      <c r="K336" s="16"/>
      <c r="L336"/>
    </row>
    <row r="337" spans="5:12">
      <c r="E337" s="7"/>
      <c r="F337"/>
      <c r="G337" s="7"/>
      <c r="I337"/>
      <c r="K337" s="16"/>
      <c r="L337"/>
    </row>
    <row r="338" spans="5:12">
      <c r="E338" s="7"/>
      <c r="F338"/>
      <c r="G338" s="7"/>
      <c r="I338"/>
      <c r="K338" s="16"/>
      <c r="L338"/>
    </row>
    <row r="339" spans="5:12">
      <c r="E339" s="7"/>
      <c r="F339"/>
      <c r="G339" s="7"/>
      <c r="I339"/>
      <c r="K339" s="16"/>
      <c r="L339"/>
    </row>
    <row r="340" spans="5:12">
      <c r="E340" s="7"/>
      <c r="F340"/>
      <c r="G340" s="7"/>
      <c r="I340"/>
      <c r="K340" s="16"/>
      <c r="L340"/>
    </row>
    <row r="341" spans="5:12">
      <c r="E341" s="7"/>
      <c r="F341"/>
      <c r="G341" s="7"/>
      <c r="I341"/>
      <c r="K341" s="16"/>
      <c r="L341"/>
    </row>
    <row r="342" spans="5:12">
      <c r="E342" s="7"/>
      <c r="F342"/>
      <c r="G342" s="7"/>
      <c r="I342"/>
      <c r="K342" s="16"/>
      <c r="L342"/>
    </row>
    <row r="343" spans="5:12">
      <c r="E343" s="7"/>
      <c r="F343"/>
      <c r="G343" s="7"/>
      <c r="I343"/>
      <c r="K343" s="16"/>
      <c r="L343"/>
    </row>
    <row r="344" spans="5:12">
      <c r="E344" s="7"/>
      <c r="F344"/>
      <c r="G344" s="7"/>
      <c r="I344"/>
      <c r="K344" s="16"/>
      <c r="L344"/>
    </row>
    <row r="345" spans="5:12">
      <c r="E345" s="7"/>
      <c r="F345"/>
      <c r="G345" s="7"/>
      <c r="I345"/>
      <c r="K345" s="16"/>
      <c r="L345"/>
    </row>
    <row r="346" spans="5:12">
      <c r="E346" s="7"/>
      <c r="F346"/>
      <c r="G346" s="7"/>
      <c r="I346"/>
      <c r="K346" s="16"/>
      <c r="L346"/>
    </row>
    <row r="347" spans="5:12">
      <c r="E347" s="7"/>
      <c r="F347"/>
      <c r="G347" s="7"/>
      <c r="I347"/>
      <c r="K347" s="16"/>
      <c r="L347"/>
    </row>
    <row r="348" spans="5:12">
      <c r="E348" s="7"/>
      <c r="F348"/>
      <c r="G348" s="7"/>
      <c r="I348"/>
      <c r="K348" s="16"/>
      <c r="L348"/>
    </row>
    <row r="349" spans="5:12">
      <c r="E349" s="7"/>
      <c r="F349"/>
      <c r="G349" s="7"/>
      <c r="I349"/>
      <c r="K349" s="16"/>
      <c r="L349"/>
    </row>
    <row r="350" spans="5:12">
      <c r="E350" s="7"/>
      <c r="F350"/>
      <c r="G350" s="7"/>
      <c r="I350"/>
      <c r="K350" s="16"/>
      <c r="L350"/>
    </row>
    <row r="351" spans="5:12">
      <c r="E351" s="7"/>
      <c r="F351"/>
      <c r="G351" s="7"/>
      <c r="I351"/>
      <c r="K351" s="16"/>
      <c r="L351"/>
    </row>
    <row r="352" spans="5:12">
      <c r="E352" s="7"/>
      <c r="F352"/>
      <c r="G352" s="7"/>
      <c r="I352"/>
      <c r="K352" s="16"/>
      <c r="L352"/>
    </row>
    <row r="353" spans="5:12">
      <c r="E353" s="7"/>
      <c r="F353"/>
      <c r="G353" s="7"/>
      <c r="I353"/>
      <c r="K353" s="16"/>
      <c r="L353"/>
    </row>
    <row r="354" spans="5:12">
      <c r="E354" s="7"/>
      <c r="F354"/>
      <c r="G354" s="7"/>
      <c r="I354"/>
      <c r="K354" s="16"/>
      <c r="L354"/>
    </row>
    <row r="355" spans="5:12">
      <c r="E355" s="7"/>
      <c r="F355"/>
      <c r="G355" s="7"/>
      <c r="I355"/>
      <c r="K355" s="16"/>
      <c r="L355"/>
    </row>
    <row r="356" spans="5:12">
      <c r="E356" s="7"/>
      <c r="F356"/>
      <c r="G356" s="7"/>
      <c r="I356"/>
      <c r="K356" s="16"/>
      <c r="L356"/>
    </row>
    <row r="357" spans="5:12">
      <c r="E357" s="7"/>
      <c r="F357"/>
      <c r="G357" s="7"/>
      <c r="I357"/>
      <c r="K357" s="16"/>
      <c r="L357"/>
    </row>
    <row r="358" spans="5:12">
      <c r="E358" s="7"/>
      <c r="F358"/>
      <c r="G358" s="7"/>
      <c r="I358"/>
      <c r="K358" s="16"/>
      <c r="L358"/>
    </row>
    <row r="359" spans="5:12">
      <c r="E359" s="7"/>
      <c r="F359"/>
      <c r="G359" s="7"/>
      <c r="I359"/>
      <c r="K359" s="16"/>
      <c r="L359"/>
    </row>
    <row r="360" spans="5:12">
      <c r="E360" s="7"/>
      <c r="F360"/>
      <c r="G360" s="7"/>
      <c r="I360"/>
      <c r="K360" s="16"/>
      <c r="L360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4"/>
  <sheetViews>
    <sheetView workbookViewId="0">
      <selection activeCell="J19" sqref="J19"/>
    </sheetView>
  </sheetViews>
  <sheetFormatPr defaultRowHeight="14.4"/>
  <cols>
    <col min="1" max="1" width="15.5546875" bestFit="1" customWidth="1"/>
    <col min="2" max="2" width="22.5546875" bestFit="1" customWidth="1"/>
    <col min="3" max="3" width="24" style="7" bestFit="1" customWidth="1"/>
    <col min="4" max="4" width="19.77734375" bestFit="1" customWidth="1"/>
    <col min="5" max="5" width="15.5546875" style="41" bestFit="1" customWidth="1"/>
    <col min="6" max="6" width="15.5546875" style="7" bestFit="1" customWidth="1"/>
    <col min="7" max="7" width="15.33203125" bestFit="1" customWidth="1"/>
  </cols>
  <sheetData>
    <row r="1" spans="1:11">
      <c r="C1"/>
      <c r="F1"/>
    </row>
    <row r="2" spans="1:11" ht="17.399999999999999">
      <c r="A2" s="49" t="s">
        <v>970</v>
      </c>
      <c r="B2" s="49" t="s">
        <v>971</v>
      </c>
      <c r="C2" s="49" t="s">
        <v>982</v>
      </c>
      <c r="D2" s="49" t="s">
        <v>972</v>
      </c>
      <c r="E2" s="50" t="s">
        <v>983</v>
      </c>
      <c r="F2" s="49" t="s">
        <v>984</v>
      </c>
      <c r="G2" s="49" t="s">
        <v>990</v>
      </c>
    </row>
    <row r="3" spans="1:11">
      <c r="A3" s="39">
        <v>1</v>
      </c>
      <c r="B3" s="6">
        <v>18</v>
      </c>
      <c r="C3" s="6">
        <v>4</v>
      </c>
      <c r="D3" s="4" t="s">
        <v>649</v>
      </c>
      <c r="E3" s="42">
        <v>2955</v>
      </c>
      <c r="F3" s="6" t="s">
        <v>1</v>
      </c>
      <c r="G3" s="40">
        <v>1.6421172454574844</v>
      </c>
    </row>
    <row r="4" spans="1:11">
      <c r="A4" s="39">
        <v>2</v>
      </c>
      <c r="B4" s="6">
        <v>12</v>
      </c>
      <c r="C4" s="6">
        <v>4</v>
      </c>
      <c r="D4" s="4" t="s">
        <v>650</v>
      </c>
      <c r="E4" s="42">
        <v>5350</v>
      </c>
      <c r="F4" s="6" t="s">
        <v>1</v>
      </c>
      <c r="G4" s="40">
        <v>2.3987827312812442</v>
      </c>
    </row>
    <row r="5" spans="1:11" ht="17.399999999999999">
      <c r="A5" s="39">
        <v>3</v>
      </c>
      <c r="B5" s="6">
        <v>12</v>
      </c>
      <c r="C5" s="6">
        <v>2</v>
      </c>
      <c r="D5" s="4" t="s">
        <v>653</v>
      </c>
      <c r="E5" s="42">
        <v>3132</v>
      </c>
      <c r="F5" s="6" t="s">
        <v>989</v>
      </c>
      <c r="G5" s="40">
        <v>1.6299527538212715</v>
      </c>
      <c r="I5" s="15"/>
      <c r="J5" s="15" t="s">
        <v>985</v>
      </c>
      <c r="K5" s="15" t="s">
        <v>0</v>
      </c>
    </row>
    <row r="6" spans="1:11" ht="17.399999999999999">
      <c r="A6" s="39">
        <v>4</v>
      </c>
      <c r="B6" s="6">
        <v>8</v>
      </c>
      <c r="C6" s="6">
        <v>2</v>
      </c>
      <c r="D6" s="4" t="s">
        <v>657</v>
      </c>
      <c r="E6" s="42">
        <v>6844</v>
      </c>
      <c r="F6" s="6" t="s">
        <v>989</v>
      </c>
      <c r="G6" s="40">
        <v>2.0906669583855546</v>
      </c>
      <c r="I6" s="51" t="s">
        <v>986</v>
      </c>
      <c r="J6" s="52"/>
      <c r="K6" s="15" t="s">
        <v>1</v>
      </c>
    </row>
    <row r="7" spans="1:11" ht="17.399999999999999">
      <c r="A7" s="39">
        <v>5</v>
      </c>
      <c r="B7" s="6">
        <v>18</v>
      </c>
      <c r="C7" s="6">
        <v>5</v>
      </c>
      <c r="D7" s="44" t="s">
        <v>660</v>
      </c>
      <c r="E7" s="42">
        <v>4583</v>
      </c>
      <c r="F7" s="6" t="s">
        <v>1</v>
      </c>
      <c r="G7" s="40">
        <v>1.5644873251876561</v>
      </c>
      <c r="I7" s="51" t="s">
        <v>987</v>
      </c>
      <c r="J7" s="52"/>
      <c r="K7" s="15" t="s">
        <v>2</v>
      </c>
    </row>
    <row r="8" spans="1:11" ht="17.399999999999999">
      <c r="A8" s="39">
        <v>6</v>
      </c>
      <c r="B8" s="6">
        <v>2</v>
      </c>
      <c r="C8" s="6">
        <v>2</v>
      </c>
      <c r="D8" s="44" t="s">
        <v>662</v>
      </c>
      <c r="E8" s="42">
        <v>3825</v>
      </c>
      <c r="F8" s="6" t="s">
        <v>989</v>
      </c>
      <c r="G8" s="40">
        <v>2.7383141564787365</v>
      </c>
      <c r="I8" s="51" t="s">
        <v>988</v>
      </c>
      <c r="J8" s="52"/>
      <c r="K8" s="15" t="s">
        <v>989</v>
      </c>
    </row>
    <row r="9" spans="1:11">
      <c r="A9" s="39">
        <v>7</v>
      </c>
      <c r="B9" s="6">
        <v>16</v>
      </c>
      <c r="C9" s="6">
        <v>2</v>
      </c>
      <c r="D9" s="44" t="s">
        <v>663</v>
      </c>
      <c r="E9" s="42">
        <v>4085</v>
      </c>
      <c r="F9" s="6" t="s">
        <v>989</v>
      </c>
      <c r="G9" s="40">
        <v>2.4312812507123454</v>
      </c>
    </row>
    <row r="10" spans="1:11">
      <c r="A10" s="39">
        <v>8</v>
      </c>
      <c r="B10" s="6">
        <v>16</v>
      </c>
      <c r="C10" s="6">
        <v>5</v>
      </c>
      <c r="D10" s="44" t="s">
        <v>666</v>
      </c>
      <c r="E10" s="42">
        <v>4757</v>
      </c>
      <c r="F10" s="6" t="s">
        <v>2</v>
      </c>
      <c r="G10" s="40">
        <v>2.3448104735070956</v>
      </c>
    </row>
    <row r="11" spans="1:11">
      <c r="A11" s="39">
        <v>9</v>
      </c>
      <c r="B11" s="6">
        <v>21</v>
      </c>
      <c r="C11" s="6">
        <v>5</v>
      </c>
      <c r="D11" s="44" t="s">
        <v>669</v>
      </c>
      <c r="E11" s="42">
        <v>4308</v>
      </c>
      <c r="F11" s="6" t="s">
        <v>2</v>
      </c>
      <c r="G11" s="40">
        <v>1.4551978943491122</v>
      </c>
    </row>
    <row r="12" spans="1:11">
      <c r="A12" s="39">
        <v>10</v>
      </c>
      <c r="B12" s="6">
        <v>2</v>
      </c>
      <c r="C12" s="6">
        <v>4</v>
      </c>
      <c r="D12" s="44" t="s">
        <v>671</v>
      </c>
      <c r="E12" s="42">
        <v>5267</v>
      </c>
      <c r="F12" s="6" t="s">
        <v>989</v>
      </c>
      <c r="G12" s="40">
        <v>2.7119342626538128</v>
      </c>
    </row>
    <row r="13" spans="1:11">
      <c r="A13" s="39">
        <v>11</v>
      </c>
      <c r="B13" s="6">
        <v>15</v>
      </c>
      <c r="C13" s="6">
        <v>1</v>
      </c>
      <c r="D13" s="44" t="s">
        <v>675</v>
      </c>
      <c r="E13" s="42">
        <v>6368</v>
      </c>
      <c r="F13" s="6" t="s">
        <v>1</v>
      </c>
      <c r="G13" s="40">
        <v>1.8629584752052324</v>
      </c>
    </row>
    <row r="14" spans="1:11">
      <c r="A14" s="39">
        <v>12</v>
      </c>
      <c r="B14" s="6">
        <v>2</v>
      </c>
      <c r="C14" s="6">
        <v>2</v>
      </c>
      <c r="D14" s="44" t="s">
        <v>678</v>
      </c>
      <c r="E14" s="42">
        <v>5423</v>
      </c>
      <c r="F14" s="6" t="s">
        <v>0</v>
      </c>
      <c r="G14" s="40">
        <v>1.4457516550028231</v>
      </c>
    </row>
    <row r="15" spans="1:11">
      <c r="A15" s="39">
        <v>13</v>
      </c>
      <c r="B15" s="6">
        <v>10</v>
      </c>
      <c r="C15" s="6">
        <v>3</v>
      </c>
      <c r="D15" s="44" t="s">
        <v>681</v>
      </c>
      <c r="E15" s="42">
        <v>2881</v>
      </c>
      <c r="F15" s="6" t="s">
        <v>0</v>
      </c>
      <c r="G15" s="40">
        <v>1.352055510826176</v>
      </c>
    </row>
    <row r="16" spans="1:11">
      <c r="A16" s="39">
        <v>14</v>
      </c>
      <c r="B16" s="6">
        <v>16</v>
      </c>
      <c r="C16" s="6">
        <v>2</v>
      </c>
      <c r="D16" s="44" t="s">
        <v>684</v>
      </c>
      <c r="E16" s="42">
        <v>1623</v>
      </c>
      <c r="F16" s="6" t="s">
        <v>1</v>
      </c>
      <c r="G16" s="40">
        <v>1.6215001374366693</v>
      </c>
    </row>
    <row r="17" spans="1:7">
      <c r="A17" s="39">
        <v>15</v>
      </c>
      <c r="B17" s="6">
        <v>3</v>
      </c>
      <c r="C17" s="6">
        <v>1</v>
      </c>
      <c r="D17" s="44" t="s">
        <v>685</v>
      </c>
      <c r="E17" s="42">
        <v>782</v>
      </c>
      <c r="F17" s="6" t="s">
        <v>0</v>
      </c>
      <c r="G17" s="40">
        <v>2.0415286649513291</v>
      </c>
    </row>
    <row r="18" spans="1:7">
      <c r="A18" s="39">
        <v>16</v>
      </c>
      <c r="B18" s="6">
        <v>2</v>
      </c>
      <c r="C18" s="6">
        <v>1</v>
      </c>
      <c r="D18" s="44" t="s">
        <v>687</v>
      </c>
      <c r="E18" s="42">
        <v>2697</v>
      </c>
      <c r="F18" s="6" t="s">
        <v>989</v>
      </c>
      <c r="G18" s="40">
        <v>2.4344519766164012</v>
      </c>
    </row>
    <row r="19" spans="1:7">
      <c r="A19" s="39">
        <v>17</v>
      </c>
      <c r="B19" s="6">
        <v>6</v>
      </c>
      <c r="C19" s="6">
        <v>2</v>
      </c>
      <c r="D19" s="44" t="s">
        <v>688</v>
      </c>
      <c r="E19" s="42">
        <v>6856</v>
      </c>
      <c r="F19" s="6" t="s">
        <v>0</v>
      </c>
      <c r="G19" s="40">
        <v>1.2858442965371069</v>
      </c>
    </row>
    <row r="20" spans="1:7">
      <c r="A20" s="39">
        <v>18</v>
      </c>
      <c r="B20" s="6">
        <v>1</v>
      </c>
      <c r="C20" s="6">
        <v>1</v>
      </c>
      <c r="D20" s="44" t="s">
        <v>690</v>
      </c>
      <c r="E20" s="42">
        <v>3301</v>
      </c>
      <c r="F20" s="6" t="s">
        <v>0</v>
      </c>
      <c r="G20" s="40">
        <v>1.8906793052810826</v>
      </c>
    </row>
    <row r="21" spans="1:7">
      <c r="A21" s="39">
        <v>19</v>
      </c>
      <c r="B21" s="6">
        <v>11</v>
      </c>
      <c r="C21" s="6">
        <v>4</v>
      </c>
      <c r="D21" s="44" t="s">
        <v>691</v>
      </c>
      <c r="E21" s="42">
        <v>3410</v>
      </c>
      <c r="F21" s="6" t="s">
        <v>2</v>
      </c>
      <c r="G21" s="40">
        <v>1.5906671301781898</v>
      </c>
    </row>
    <row r="22" spans="1:7">
      <c r="A22" s="39">
        <v>20</v>
      </c>
      <c r="B22" s="6">
        <v>15</v>
      </c>
      <c r="C22" s="6">
        <v>2</v>
      </c>
      <c r="D22" s="44" t="s">
        <v>693</v>
      </c>
      <c r="E22" s="42">
        <v>2319</v>
      </c>
      <c r="F22" s="6" t="s">
        <v>989</v>
      </c>
      <c r="G22" s="40">
        <v>1.5954078713111812</v>
      </c>
    </row>
    <row r="23" spans="1:7">
      <c r="A23" s="39">
        <v>21</v>
      </c>
      <c r="B23" s="6">
        <v>8</v>
      </c>
      <c r="C23" s="6">
        <v>3</v>
      </c>
      <c r="D23" s="44" t="s">
        <v>694</v>
      </c>
      <c r="E23" s="42">
        <v>2242</v>
      </c>
      <c r="F23" s="6" t="s">
        <v>989</v>
      </c>
      <c r="G23" s="40">
        <v>1.5387554463377455</v>
      </c>
    </row>
    <row r="24" spans="1:7">
      <c r="A24" s="39">
        <v>22</v>
      </c>
      <c r="B24" s="6">
        <v>9</v>
      </c>
      <c r="C24" s="6">
        <v>5</v>
      </c>
      <c r="D24" s="44" t="s">
        <v>696</v>
      </c>
      <c r="E24" s="42">
        <v>4624</v>
      </c>
      <c r="F24" s="6" t="s">
        <v>1</v>
      </c>
      <c r="G24" s="40">
        <v>1.9656063209840795</v>
      </c>
    </row>
    <row r="25" spans="1:7">
      <c r="A25" s="39">
        <v>23</v>
      </c>
      <c r="B25" s="6">
        <v>8</v>
      </c>
      <c r="C25" s="6">
        <v>2</v>
      </c>
      <c r="D25" s="44" t="s">
        <v>697</v>
      </c>
      <c r="E25" s="42">
        <v>5442</v>
      </c>
      <c r="F25" s="6" t="s">
        <v>2</v>
      </c>
      <c r="G25" s="40">
        <v>1.3251765317836544</v>
      </c>
    </row>
    <row r="26" spans="1:7">
      <c r="A26" s="39">
        <v>24</v>
      </c>
      <c r="B26" s="6">
        <v>14</v>
      </c>
      <c r="C26" s="6">
        <v>4</v>
      </c>
      <c r="D26" s="44" t="s">
        <v>699</v>
      </c>
      <c r="E26" s="42">
        <v>4981</v>
      </c>
      <c r="F26" s="6" t="s">
        <v>0</v>
      </c>
      <c r="G26" s="40">
        <v>2.7509515853598714</v>
      </c>
    </row>
    <row r="27" spans="1:7">
      <c r="A27" s="39">
        <v>25</v>
      </c>
      <c r="B27" s="6">
        <v>12</v>
      </c>
      <c r="C27" s="6">
        <v>1</v>
      </c>
      <c r="D27" s="44" t="s">
        <v>701</v>
      </c>
      <c r="E27" s="42">
        <v>5854</v>
      </c>
      <c r="F27" s="6" t="s">
        <v>1</v>
      </c>
      <c r="G27" s="40">
        <v>1.6591088802233571</v>
      </c>
    </row>
    <row r="28" spans="1:7">
      <c r="A28" s="39">
        <v>26</v>
      </c>
      <c r="B28" s="6">
        <v>5</v>
      </c>
      <c r="C28" s="6">
        <v>4</v>
      </c>
      <c r="D28" s="44" t="s">
        <v>703</v>
      </c>
      <c r="E28" s="42">
        <v>4893</v>
      </c>
      <c r="F28" s="6" t="s">
        <v>0</v>
      </c>
      <c r="G28" s="40">
        <v>1.9707802089687902</v>
      </c>
    </row>
    <row r="29" spans="1:7">
      <c r="A29" s="39">
        <v>27</v>
      </c>
      <c r="B29" s="6">
        <v>4</v>
      </c>
      <c r="C29" s="6">
        <v>1</v>
      </c>
      <c r="D29" s="44" t="s">
        <v>705</v>
      </c>
      <c r="E29" s="42">
        <v>2686</v>
      </c>
      <c r="F29" s="6" t="s">
        <v>0</v>
      </c>
      <c r="G29" s="40">
        <v>2.1521578951724223</v>
      </c>
    </row>
    <row r="30" spans="1:7">
      <c r="A30" s="39">
        <v>28</v>
      </c>
      <c r="B30" s="6">
        <v>14</v>
      </c>
      <c r="C30" s="6">
        <v>4</v>
      </c>
      <c r="D30" s="44" t="s">
        <v>706</v>
      </c>
      <c r="E30" s="42">
        <v>5281</v>
      </c>
      <c r="F30" s="6" t="s">
        <v>1</v>
      </c>
      <c r="G30" s="40">
        <v>1.5145662978757173</v>
      </c>
    </row>
    <row r="31" spans="1:7">
      <c r="A31" s="39">
        <v>29</v>
      </c>
      <c r="B31" s="6">
        <v>21</v>
      </c>
      <c r="C31" s="6">
        <v>3</v>
      </c>
      <c r="D31" s="44" t="s">
        <v>707</v>
      </c>
      <c r="E31" s="42">
        <v>3803</v>
      </c>
      <c r="F31" s="6" t="s">
        <v>989</v>
      </c>
      <c r="G31" s="40">
        <v>2.275909428637533</v>
      </c>
    </row>
    <row r="32" spans="1:7">
      <c r="A32" s="39">
        <v>30</v>
      </c>
      <c r="B32" s="6">
        <v>20</v>
      </c>
      <c r="C32" s="6">
        <v>3</v>
      </c>
      <c r="D32" s="44" t="s">
        <v>711</v>
      </c>
      <c r="E32" s="42">
        <v>4607</v>
      </c>
      <c r="F32" s="6" t="s">
        <v>2</v>
      </c>
      <c r="G32" s="40">
        <v>2.2774697804852622</v>
      </c>
    </row>
    <row r="33" spans="1:7">
      <c r="A33" s="39">
        <v>31</v>
      </c>
      <c r="B33" s="6">
        <v>21</v>
      </c>
      <c r="C33" s="6">
        <v>3</v>
      </c>
      <c r="D33" s="44" t="s">
        <v>713</v>
      </c>
      <c r="E33" s="42">
        <v>5320</v>
      </c>
      <c r="F33" s="6" t="s">
        <v>989</v>
      </c>
      <c r="G33" s="40">
        <v>2.3756031219381839</v>
      </c>
    </row>
    <row r="34" spans="1:7">
      <c r="A34" s="39">
        <v>32</v>
      </c>
      <c r="B34" s="6">
        <v>18</v>
      </c>
      <c r="C34" s="6">
        <v>2</v>
      </c>
      <c r="D34" s="44" t="s">
        <v>716</v>
      </c>
      <c r="E34" s="42">
        <v>3397</v>
      </c>
      <c r="F34" s="6" t="s">
        <v>989</v>
      </c>
      <c r="G34" s="40">
        <v>3.4093529898673296</v>
      </c>
    </row>
    <row r="35" spans="1:7">
      <c r="A35" s="39">
        <v>33</v>
      </c>
      <c r="B35" s="6">
        <v>2</v>
      </c>
      <c r="C35" s="6">
        <v>1</v>
      </c>
      <c r="D35" s="44" t="s">
        <v>719</v>
      </c>
      <c r="E35" s="42">
        <v>4095</v>
      </c>
      <c r="F35" s="6" t="s">
        <v>2</v>
      </c>
      <c r="G35" s="40">
        <v>2.332876197717269</v>
      </c>
    </row>
    <row r="36" spans="1:7">
      <c r="A36" s="39">
        <v>34</v>
      </c>
      <c r="B36" s="6">
        <v>10</v>
      </c>
      <c r="C36" s="6">
        <v>3</v>
      </c>
      <c r="D36" s="44" t="s">
        <v>721</v>
      </c>
      <c r="E36" s="42">
        <v>2000</v>
      </c>
      <c r="F36" s="6" t="s">
        <v>1</v>
      </c>
      <c r="G36" s="40">
        <v>2.3372804258106044</v>
      </c>
    </row>
    <row r="37" spans="1:7">
      <c r="A37" s="39">
        <v>35</v>
      </c>
      <c r="B37" s="6">
        <v>5</v>
      </c>
      <c r="C37" s="6">
        <v>3</v>
      </c>
      <c r="D37" s="44" t="s">
        <v>723</v>
      </c>
      <c r="E37" s="42">
        <v>3616</v>
      </c>
      <c r="F37" s="6" t="s">
        <v>2</v>
      </c>
      <c r="G37" s="40">
        <v>2.7816447578079533</v>
      </c>
    </row>
    <row r="38" spans="1:7">
      <c r="A38" s="39">
        <v>36</v>
      </c>
      <c r="B38" s="6">
        <v>10</v>
      </c>
      <c r="C38" s="6">
        <v>1</v>
      </c>
      <c r="D38" s="44" t="s">
        <v>725</v>
      </c>
      <c r="E38" s="42">
        <v>2132</v>
      </c>
      <c r="F38" s="6" t="s">
        <v>989</v>
      </c>
      <c r="G38" s="40">
        <v>1.8812575086049037</v>
      </c>
    </row>
    <row r="39" spans="1:7">
      <c r="A39" s="39">
        <v>37</v>
      </c>
      <c r="B39" s="6">
        <v>15</v>
      </c>
      <c r="C39" s="6">
        <v>4</v>
      </c>
      <c r="D39" s="44" t="s">
        <v>727</v>
      </c>
      <c r="E39" s="42">
        <v>1261</v>
      </c>
      <c r="F39" s="6" t="s">
        <v>2</v>
      </c>
      <c r="G39" s="40">
        <v>1.9846789933144464</v>
      </c>
    </row>
    <row r="40" spans="1:7">
      <c r="A40" s="39">
        <v>38</v>
      </c>
      <c r="B40" s="6">
        <v>18</v>
      </c>
      <c r="C40" s="6">
        <v>4</v>
      </c>
      <c r="D40" s="44" t="s">
        <v>729</v>
      </c>
      <c r="E40" s="42">
        <v>2193</v>
      </c>
      <c r="F40" s="6" t="s">
        <v>2</v>
      </c>
      <c r="G40" s="40">
        <v>2.0472505234938581</v>
      </c>
    </row>
    <row r="41" spans="1:7">
      <c r="A41" s="39">
        <v>39</v>
      </c>
      <c r="B41" s="6">
        <v>10</v>
      </c>
      <c r="C41" s="6">
        <v>5</v>
      </c>
      <c r="D41" s="44" t="s">
        <v>730</v>
      </c>
      <c r="E41" s="42">
        <v>5112</v>
      </c>
      <c r="F41" s="6" t="s">
        <v>989</v>
      </c>
      <c r="G41" s="40">
        <v>2.4686717147706077</v>
      </c>
    </row>
    <row r="42" spans="1:7">
      <c r="A42" s="39">
        <v>40</v>
      </c>
      <c r="B42" s="6">
        <v>2</v>
      </c>
      <c r="C42" s="6">
        <v>5</v>
      </c>
      <c r="D42" s="44" t="s">
        <v>731</v>
      </c>
      <c r="E42" s="42">
        <v>6888</v>
      </c>
      <c r="F42" s="6" t="s">
        <v>0</v>
      </c>
      <c r="G42" s="40">
        <v>1.5480982306617079</v>
      </c>
    </row>
    <row r="43" spans="1:7">
      <c r="A43" s="39">
        <v>41</v>
      </c>
      <c r="B43" s="6">
        <v>20</v>
      </c>
      <c r="C43" s="6">
        <v>5</v>
      </c>
      <c r="D43" s="44" t="s">
        <v>733</v>
      </c>
      <c r="E43" s="42">
        <v>6776</v>
      </c>
      <c r="F43" s="6" t="s">
        <v>989</v>
      </c>
      <c r="G43" s="40">
        <v>1.7968137677162304</v>
      </c>
    </row>
    <row r="44" spans="1:7">
      <c r="A44" s="39">
        <v>42</v>
      </c>
      <c r="B44" s="6">
        <v>8</v>
      </c>
      <c r="C44" s="6">
        <v>1</v>
      </c>
      <c r="D44" s="44" t="s">
        <v>734</v>
      </c>
      <c r="E44" s="42">
        <v>1691</v>
      </c>
      <c r="F44" s="6" t="s">
        <v>989</v>
      </c>
      <c r="G44" s="40">
        <v>3.0600524547044188</v>
      </c>
    </row>
    <row r="45" spans="1:7">
      <c r="A45" s="39">
        <v>43</v>
      </c>
      <c r="B45" s="6">
        <v>3</v>
      </c>
      <c r="C45" s="6">
        <v>1</v>
      </c>
      <c r="D45" s="44" t="s">
        <v>736</v>
      </c>
      <c r="E45" s="42">
        <v>1051</v>
      </c>
      <c r="F45" s="6" t="s">
        <v>0</v>
      </c>
      <c r="G45" s="40">
        <v>2.3691422989504645</v>
      </c>
    </row>
    <row r="46" spans="1:7">
      <c r="A46" s="39">
        <v>44</v>
      </c>
      <c r="B46" s="6">
        <v>3</v>
      </c>
      <c r="C46" s="6">
        <v>5</v>
      </c>
      <c r="D46" s="44" t="s">
        <v>738</v>
      </c>
      <c r="E46" s="42">
        <v>6175</v>
      </c>
      <c r="F46" s="6" t="s">
        <v>989</v>
      </c>
      <c r="G46" s="40">
        <v>2.114065414891229</v>
      </c>
    </row>
    <row r="47" spans="1:7">
      <c r="A47" s="39">
        <v>45</v>
      </c>
      <c r="B47" s="6">
        <v>15</v>
      </c>
      <c r="C47" s="6">
        <v>3</v>
      </c>
      <c r="D47" s="44" t="s">
        <v>740</v>
      </c>
      <c r="E47" s="42">
        <v>6368</v>
      </c>
      <c r="F47" s="6" t="s">
        <v>989</v>
      </c>
      <c r="G47" s="40">
        <v>1.5069731539842905</v>
      </c>
    </row>
    <row r="48" spans="1:7">
      <c r="A48" s="39">
        <v>46</v>
      </c>
      <c r="B48" s="6">
        <v>17</v>
      </c>
      <c r="C48" s="6">
        <v>5</v>
      </c>
      <c r="D48" s="44" t="s">
        <v>742</v>
      </c>
      <c r="E48" s="42">
        <v>1035</v>
      </c>
      <c r="F48" s="6" t="s">
        <v>989</v>
      </c>
      <c r="G48" s="40">
        <v>1.4132656411238713</v>
      </c>
    </row>
    <row r="49" spans="1:7">
      <c r="A49" s="39">
        <v>47</v>
      </c>
      <c r="B49" s="6">
        <v>23</v>
      </c>
      <c r="C49" s="6">
        <v>3</v>
      </c>
      <c r="D49" s="44" t="s">
        <v>743</v>
      </c>
      <c r="E49" s="42">
        <v>6048</v>
      </c>
      <c r="F49" s="6" t="s">
        <v>989</v>
      </c>
      <c r="G49" s="40">
        <v>1.880549239605898</v>
      </c>
    </row>
    <row r="50" spans="1:7">
      <c r="A50" s="39">
        <v>48</v>
      </c>
      <c r="B50" s="6">
        <v>22</v>
      </c>
      <c r="C50" s="6">
        <v>1</v>
      </c>
      <c r="D50" s="44" t="s">
        <v>746</v>
      </c>
      <c r="E50" s="42">
        <v>1979</v>
      </c>
      <c r="F50" s="6" t="s">
        <v>989</v>
      </c>
      <c r="G50" s="40">
        <v>1.0297101248870604</v>
      </c>
    </row>
    <row r="51" spans="1:7">
      <c r="A51" s="39">
        <v>49</v>
      </c>
      <c r="B51" s="6">
        <v>3</v>
      </c>
      <c r="C51" s="6">
        <v>3</v>
      </c>
      <c r="D51" s="44" t="s">
        <v>748</v>
      </c>
      <c r="E51" s="42">
        <v>799</v>
      </c>
      <c r="F51" s="6" t="s">
        <v>989</v>
      </c>
      <c r="G51" s="40">
        <v>1.8280071622502874</v>
      </c>
    </row>
    <row r="52" spans="1:7">
      <c r="A52" s="39">
        <v>50</v>
      </c>
      <c r="B52" s="6">
        <v>5</v>
      </c>
      <c r="C52" s="6">
        <v>1</v>
      </c>
      <c r="D52" s="44" t="s">
        <v>750</v>
      </c>
      <c r="E52" s="42">
        <v>1320</v>
      </c>
      <c r="F52" s="6" t="s">
        <v>2</v>
      </c>
      <c r="G52" s="40">
        <v>1.8120915734034497</v>
      </c>
    </row>
    <row r="53" spans="1:7">
      <c r="A53" s="39">
        <v>51</v>
      </c>
      <c r="B53" s="6">
        <v>9</v>
      </c>
      <c r="C53" s="6">
        <v>5</v>
      </c>
      <c r="D53" s="44" t="s">
        <v>752</v>
      </c>
      <c r="E53" s="42">
        <v>1987</v>
      </c>
      <c r="F53" s="6" t="s">
        <v>1</v>
      </c>
      <c r="G53" s="40">
        <v>1.1523782227886841</v>
      </c>
    </row>
    <row r="54" spans="1:7">
      <c r="A54" s="39">
        <v>52</v>
      </c>
      <c r="B54" s="6">
        <v>1</v>
      </c>
      <c r="C54" s="6">
        <v>4</v>
      </c>
      <c r="D54" s="44" t="s">
        <v>753</v>
      </c>
      <c r="E54" s="42">
        <v>4488</v>
      </c>
      <c r="F54" s="6" t="s">
        <v>2</v>
      </c>
      <c r="G54" s="40">
        <v>1.9788610693940427</v>
      </c>
    </row>
    <row r="55" spans="1:7">
      <c r="A55" s="39">
        <v>53</v>
      </c>
      <c r="B55" s="6">
        <v>17</v>
      </c>
      <c r="C55" s="6">
        <v>3</v>
      </c>
      <c r="D55" s="44" t="s">
        <v>754</v>
      </c>
      <c r="E55" s="42">
        <v>4899</v>
      </c>
      <c r="F55" s="6" t="s">
        <v>989</v>
      </c>
      <c r="G55" s="40">
        <v>2.2493436568329344</v>
      </c>
    </row>
    <row r="56" spans="1:7">
      <c r="A56" s="39">
        <v>54</v>
      </c>
      <c r="B56" s="6">
        <v>10</v>
      </c>
      <c r="C56" s="6">
        <v>3</v>
      </c>
      <c r="D56" s="44" t="s">
        <v>755</v>
      </c>
      <c r="E56" s="42">
        <v>1552</v>
      </c>
      <c r="F56" s="6" t="s">
        <v>989</v>
      </c>
      <c r="G56" s="40">
        <v>2.4592004643200198</v>
      </c>
    </row>
    <row r="57" spans="1:7">
      <c r="A57" s="39">
        <v>55</v>
      </c>
      <c r="B57" s="6">
        <v>17</v>
      </c>
      <c r="C57" s="6">
        <v>2</v>
      </c>
      <c r="D57" s="44" t="s">
        <v>756</v>
      </c>
      <c r="E57" s="42">
        <v>2004</v>
      </c>
      <c r="F57" s="6" t="s">
        <v>0</v>
      </c>
      <c r="G57" s="40">
        <v>2.2791665565382573</v>
      </c>
    </row>
    <row r="58" spans="1:7">
      <c r="A58" s="39">
        <v>56</v>
      </c>
      <c r="B58" s="6">
        <v>15</v>
      </c>
      <c r="C58" s="6">
        <v>3</v>
      </c>
      <c r="D58" s="44" t="s">
        <v>758</v>
      </c>
      <c r="E58" s="42">
        <v>4266</v>
      </c>
      <c r="F58" s="6" t="s">
        <v>0</v>
      </c>
      <c r="G58" s="40">
        <v>1.2853145158733241</v>
      </c>
    </row>
    <row r="59" spans="1:7">
      <c r="A59" s="39">
        <v>57</v>
      </c>
      <c r="B59" s="6">
        <v>14</v>
      </c>
      <c r="C59" s="6">
        <v>1</v>
      </c>
      <c r="D59" s="44" t="s">
        <v>761</v>
      </c>
      <c r="E59" s="42">
        <v>3330</v>
      </c>
      <c r="F59" s="6" t="s">
        <v>989</v>
      </c>
      <c r="G59" s="40">
        <v>2.3132231540803332</v>
      </c>
    </row>
    <row r="60" spans="1:7">
      <c r="A60" s="39">
        <v>58</v>
      </c>
      <c r="B60" s="6">
        <v>21</v>
      </c>
      <c r="C60" s="6">
        <v>3</v>
      </c>
      <c r="D60" s="44" t="s">
        <v>764</v>
      </c>
      <c r="E60" s="42">
        <v>1528</v>
      </c>
      <c r="F60" s="6" t="s">
        <v>2</v>
      </c>
      <c r="G60" s="40">
        <v>1.8852274529781425</v>
      </c>
    </row>
    <row r="61" spans="1:7">
      <c r="A61" s="39">
        <v>59</v>
      </c>
      <c r="B61" s="6">
        <v>13</v>
      </c>
      <c r="C61" s="6">
        <v>4</v>
      </c>
      <c r="D61" s="44" t="s">
        <v>766</v>
      </c>
      <c r="E61" s="42">
        <v>2751</v>
      </c>
      <c r="F61" s="6" t="s">
        <v>2</v>
      </c>
      <c r="G61" s="40">
        <v>1.6162318893766496</v>
      </c>
    </row>
    <row r="62" spans="1:7">
      <c r="A62" s="39">
        <v>60</v>
      </c>
      <c r="B62" s="6">
        <v>15</v>
      </c>
      <c r="C62" s="6">
        <v>2</v>
      </c>
      <c r="D62" s="44" t="s">
        <v>768</v>
      </c>
      <c r="E62" s="42">
        <v>5274</v>
      </c>
      <c r="F62" s="6" t="s">
        <v>989</v>
      </c>
      <c r="G62" s="40">
        <v>1.9088277036207728</v>
      </c>
    </row>
    <row r="63" spans="1:7">
      <c r="A63" s="39">
        <v>61</v>
      </c>
      <c r="B63" s="6">
        <v>19</v>
      </c>
      <c r="C63" s="6">
        <v>4</v>
      </c>
      <c r="D63" s="44" t="s">
        <v>770</v>
      </c>
      <c r="E63" s="42">
        <v>3176</v>
      </c>
      <c r="F63" s="6" t="s">
        <v>2</v>
      </c>
      <c r="G63" s="40">
        <v>2.7197149898274802</v>
      </c>
    </row>
    <row r="64" spans="1:7">
      <c r="A64" s="39">
        <v>62</v>
      </c>
      <c r="B64" s="6">
        <v>3</v>
      </c>
      <c r="C64" s="6">
        <v>2</v>
      </c>
      <c r="D64" s="44" t="s">
        <v>773</v>
      </c>
      <c r="E64" s="42">
        <v>5162</v>
      </c>
      <c r="F64" s="6" t="s">
        <v>989</v>
      </c>
      <c r="G64" s="40">
        <v>1.9387057414423907</v>
      </c>
    </row>
    <row r="65" spans="1:7">
      <c r="A65" s="39">
        <v>63</v>
      </c>
      <c r="B65" s="6">
        <v>15</v>
      </c>
      <c r="C65" s="6">
        <v>1</v>
      </c>
      <c r="D65" s="44" t="s">
        <v>774</v>
      </c>
      <c r="E65" s="42">
        <v>3635</v>
      </c>
      <c r="F65" s="6" t="s">
        <v>989</v>
      </c>
      <c r="G65" s="40">
        <v>1.6102997101843357</v>
      </c>
    </row>
    <row r="66" spans="1:7">
      <c r="A66" s="39">
        <v>64</v>
      </c>
      <c r="B66" s="6">
        <v>12</v>
      </c>
      <c r="C66" s="6">
        <v>5</v>
      </c>
      <c r="D66" s="44" t="s">
        <v>776</v>
      </c>
      <c r="E66" s="42">
        <v>5428</v>
      </c>
      <c r="F66" s="6" t="s">
        <v>0</v>
      </c>
      <c r="G66" s="40">
        <v>1.5460234458732884</v>
      </c>
    </row>
    <row r="67" spans="1:7">
      <c r="A67" s="39">
        <v>65</v>
      </c>
      <c r="B67" s="6">
        <v>4</v>
      </c>
      <c r="C67" s="6">
        <v>3</v>
      </c>
      <c r="D67" s="44" t="s">
        <v>778</v>
      </c>
      <c r="E67" s="42">
        <v>4357</v>
      </c>
      <c r="F67" s="6" t="s">
        <v>989</v>
      </c>
      <c r="G67" s="40">
        <v>1.3497453942836728</v>
      </c>
    </row>
    <row r="68" spans="1:7">
      <c r="A68" s="39">
        <v>66</v>
      </c>
      <c r="B68" s="6">
        <v>18</v>
      </c>
      <c r="C68" s="6">
        <v>2</v>
      </c>
      <c r="D68" s="44" t="s">
        <v>779</v>
      </c>
      <c r="E68" s="42">
        <v>1295</v>
      </c>
      <c r="F68" s="6" t="s">
        <v>1</v>
      </c>
      <c r="G68" s="40">
        <v>2.1711003960735979</v>
      </c>
    </row>
    <row r="69" spans="1:7">
      <c r="A69" s="39">
        <v>67</v>
      </c>
      <c r="B69" s="6">
        <v>3</v>
      </c>
      <c r="C69" s="6">
        <v>5</v>
      </c>
      <c r="D69" s="44" t="s">
        <v>780</v>
      </c>
      <c r="E69" s="42">
        <v>6862</v>
      </c>
      <c r="F69" s="6" t="s">
        <v>989</v>
      </c>
      <c r="G69" s="40">
        <v>2.0882960193848703</v>
      </c>
    </row>
    <row r="70" spans="1:7">
      <c r="A70" s="39">
        <v>68</v>
      </c>
      <c r="B70" s="6">
        <v>14</v>
      </c>
      <c r="C70" s="6">
        <v>1</v>
      </c>
      <c r="D70" s="44" t="s">
        <v>783</v>
      </c>
      <c r="E70" s="42">
        <v>4912</v>
      </c>
      <c r="F70" s="6" t="s">
        <v>0</v>
      </c>
      <c r="G70" s="40">
        <v>1.9272040440700948</v>
      </c>
    </row>
    <row r="71" spans="1:7">
      <c r="A71" s="39">
        <v>69</v>
      </c>
      <c r="B71" s="6">
        <v>1</v>
      </c>
      <c r="C71" s="6">
        <v>5</v>
      </c>
      <c r="D71" s="44" t="s">
        <v>786</v>
      </c>
      <c r="E71" s="42">
        <v>1391</v>
      </c>
      <c r="F71" s="6" t="s">
        <v>1</v>
      </c>
      <c r="G71" s="40">
        <v>1.7564873410738073</v>
      </c>
    </row>
    <row r="72" spans="1:7">
      <c r="A72" s="39">
        <v>70</v>
      </c>
      <c r="B72" s="6">
        <v>18</v>
      </c>
      <c r="C72" s="6">
        <v>5</v>
      </c>
      <c r="D72" s="44" t="s">
        <v>789</v>
      </c>
      <c r="E72" s="42">
        <v>6237</v>
      </c>
      <c r="F72" s="6" t="s">
        <v>989</v>
      </c>
      <c r="G72" s="40">
        <v>1.4869881447812077</v>
      </c>
    </row>
    <row r="73" spans="1:7">
      <c r="A73" s="39">
        <v>71</v>
      </c>
      <c r="B73" s="6">
        <v>3</v>
      </c>
      <c r="C73" s="6">
        <v>4</v>
      </c>
      <c r="D73" s="44" t="s">
        <v>790</v>
      </c>
      <c r="E73" s="42">
        <v>3616</v>
      </c>
      <c r="F73" s="6" t="s">
        <v>0</v>
      </c>
      <c r="G73" s="40">
        <v>1.1049185155134182</v>
      </c>
    </row>
    <row r="74" spans="1:7">
      <c r="A74" s="39">
        <v>72</v>
      </c>
      <c r="B74" s="6">
        <v>13</v>
      </c>
      <c r="C74" s="6">
        <v>4</v>
      </c>
      <c r="D74" s="44" t="s">
        <v>792</v>
      </c>
      <c r="E74" s="42">
        <v>1017</v>
      </c>
      <c r="F74" s="6" t="s">
        <v>0</v>
      </c>
      <c r="G74" s="40">
        <v>1.8724257466165</v>
      </c>
    </row>
    <row r="75" spans="1:7">
      <c r="A75" s="39">
        <v>73</v>
      </c>
      <c r="B75" s="6">
        <v>8</v>
      </c>
      <c r="C75" s="6">
        <v>2</v>
      </c>
      <c r="D75" s="44" t="s">
        <v>795</v>
      </c>
      <c r="E75" s="42">
        <v>834</v>
      </c>
      <c r="F75" s="6" t="s">
        <v>2</v>
      </c>
      <c r="G75" s="40">
        <v>1.3553183230687864</v>
      </c>
    </row>
    <row r="76" spans="1:7">
      <c r="A76" s="39">
        <v>74</v>
      </c>
      <c r="B76" s="6">
        <v>5</v>
      </c>
      <c r="C76" s="6">
        <v>3</v>
      </c>
      <c r="D76" s="44" t="s">
        <v>798</v>
      </c>
      <c r="E76" s="42">
        <v>2209</v>
      </c>
      <c r="F76" s="6" t="s">
        <v>2</v>
      </c>
      <c r="G76" s="40">
        <v>2.1778073510649847</v>
      </c>
    </row>
    <row r="77" spans="1:7">
      <c r="A77" s="39">
        <v>75</v>
      </c>
      <c r="B77" s="6">
        <v>19</v>
      </c>
      <c r="C77" s="6">
        <v>4</v>
      </c>
      <c r="D77" s="44" t="s">
        <v>800</v>
      </c>
      <c r="E77" s="42">
        <v>5892</v>
      </c>
      <c r="F77" s="6" t="s">
        <v>2</v>
      </c>
      <c r="G77" s="40">
        <v>2.1328368171016336</v>
      </c>
    </row>
    <row r="78" spans="1:7">
      <c r="A78" s="39">
        <v>76</v>
      </c>
      <c r="B78" s="6">
        <v>15</v>
      </c>
      <c r="C78" s="6">
        <v>4</v>
      </c>
      <c r="D78" s="44" t="s">
        <v>802</v>
      </c>
      <c r="E78" s="42">
        <v>1868</v>
      </c>
      <c r="F78" s="6" t="s">
        <v>989</v>
      </c>
      <c r="G78" s="40">
        <v>2.7893959264038131</v>
      </c>
    </row>
    <row r="79" spans="1:7">
      <c r="A79" s="39">
        <v>77</v>
      </c>
      <c r="B79" s="6">
        <v>4</v>
      </c>
      <c r="C79" s="6">
        <v>5</v>
      </c>
      <c r="D79" s="44" t="s">
        <v>805</v>
      </c>
      <c r="E79" s="42">
        <v>5098</v>
      </c>
      <c r="F79" s="6" t="s">
        <v>0</v>
      </c>
      <c r="G79" s="40">
        <v>2.3146203653159318</v>
      </c>
    </row>
    <row r="80" spans="1:7">
      <c r="A80" s="39">
        <v>78</v>
      </c>
      <c r="B80" s="6">
        <v>11</v>
      </c>
      <c r="C80" s="6">
        <v>4</v>
      </c>
      <c r="D80" s="44" t="s">
        <v>807</v>
      </c>
      <c r="E80" s="42">
        <v>2351</v>
      </c>
      <c r="F80" s="6" t="s">
        <v>989</v>
      </c>
      <c r="G80" s="40">
        <v>2.6348818715196103</v>
      </c>
    </row>
    <row r="81" spans="1:7">
      <c r="A81" s="39">
        <v>79</v>
      </c>
      <c r="B81" s="6">
        <v>16</v>
      </c>
      <c r="C81" s="6">
        <v>1</v>
      </c>
      <c r="D81" s="44" t="s">
        <v>810</v>
      </c>
      <c r="E81" s="42">
        <v>4679</v>
      </c>
      <c r="F81" s="6" t="s">
        <v>989</v>
      </c>
      <c r="G81" s="40">
        <v>1.8836563008808298</v>
      </c>
    </row>
    <row r="82" spans="1:7">
      <c r="A82" s="39">
        <v>80</v>
      </c>
      <c r="B82" s="6">
        <v>7</v>
      </c>
      <c r="C82" s="6">
        <v>1</v>
      </c>
      <c r="D82" s="44" t="s">
        <v>813</v>
      </c>
      <c r="E82" s="42">
        <v>2572</v>
      </c>
      <c r="F82" s="6" t="s">
        <v>989</v>
      </c>
      <c r="G82" s="40">
        <v>2.0363115759682842</v>
      </c>
    </row>
    <row r="83" spans="1:7">
      <c r="A83" s="39">
        <v>81</v>
      </c>
      <c r="B83" s="6">
        <v>7</v>
      </c>
      <c r="C83" s="6">
        <v>4</v>
      </c>
      <c r="D83" s="44" t="s">
        <v>814</v>
      </c>
      <c r="E83" s="42">
        <v>6973</v>
      </c>
      <c r="F83" s="6" t="s">
        <v>989</v>
      </c>
      <c r="G83" s="40">
        <v>2.38675352698192</v>
      </c>
    </row>
    <row r="84" spans="1:7">
      <c r="A84" s="39">
        <v>82</v>
      </c>
      <c r="B84" s="6">
        <v>4</v>
      </c>
      <c r="C84" s="6">
        <v>1</v>
      </c>
      <c r="D84" s="44" t="s">
        <v>816</v>
      </c>
      <c r="E84" s="42">
        <v>3323</v>
      </c>
      <c r="F84" s="6" t="s">
        <v>0</v>
      </c>
      <c r="G84" s="40">
        <v>3.0232270142296329</v>
      </c>
    </row>
    <row r="85" spans="1:7">
      <c r="A85" s="39">
        <v>83</v>
      </c>
      <c r="B85" s="6">
        <v>14</v>
      </c>
      <c r="C85" s="6">
        <v>2</v>
      </c>
      <c r="D85" s="44" t="s">
        <v>818</v>
      </c>
      <c r="E85" s="42">
        <v>5754</v>
      </c>
      <c r="F85" s="6" t="s">
        <v>0</v>
      </c>
      <c r="G85" s="40">
        <v>2.1686282757873414</v>
      </c>
    </row>
    <row r="86" spans="1:7">
      <c r="A86" s="39">
        <v>84</v>
      </c>
      <c r="B86" s="6">
        <v>18</v>
      </c>
      <c r="C86" s="6">
        <v>3</v>
      </c>
      <c r="D86" s="44" t="s">
        <v>820</v>
      </c>
      <c r="E86" s="42">
        <v>4035</v>
      </c>
      <c r="F86" s="6" t="s">
        <v>1</v>
      </c>
      <c r="G86" s="40">
        <v>1.3349376836704323</v>
      </c>
    </row>
    <row r="87" spans="1:7">
      <c r="A87" s="39">
        <v>85</v>
      </c>
      <c r="B87" s="6">
        <v>8</v>
      </c>
      <c r="C87" s="6">
        <v>3</v>
      </c>
      <c r="D87" s="44" t="s">
        <v>822</v>
      </c>
      <c r="E87" s="42">
        <v>6511</v>
      </c>
      <c r="F87" s="6" t="s">
        <v>989</v>
      </c>
      <c r="G87" s="40">
        <v>1.9492138158529997</v>
      </c>
    </row>
    <row r="88" spans="1:7">
      <c r="A88" s="39">
        <v>86</v>
      </c>
      <c r="B88" s="6">
        <v>12</v>
      </c>
      <c r="C88" s="6">
        <v>3</v>
      </c>
      <c r="D88" s="44" t="s">
        <v>824</v>
      </c>
      <c r="E88" s="42">
        <v>1009</v>
      </c>
      <c r="F88" s="6" t="s">
        <v>2</v>
      </c>
      <c r="G88" s="40">
        <v>2.1562494844620232</v>
      </c>
    </row>
    <row r="89" spans="1:7">
      <c r="A89" s="39">
        <v>87</v>
      </c>
      <c r="B89" s="6">
        <v>18</v>
      </c>
      <c r="C89" s="6">
        <v>4</v>
      </c>
      <c r="D89" s="44" t="s">
        <v>826</v>
      </c>
      <c r="E89" s="42">
        <v>3478</v>
      </c>
      <c r="F89" s="6" t="s">
        <v>1</v>
      </c>
      <c r="G89" s="40">
        <v>1.7545040741897537</v>
      </c>
    </row>
    <row r="90" spans="1:7">
      <c r="A90" s="39">
        <v>88</v>
      </c>
      <c r="B90" s="6">
        <v>20</v>
      </c>
      <c r="C90" s="6">
        <v>5</v>
      </c>
      <c r="D90" s="44" t="s">
        <v>827</v>
      </c>
      <c r="E90" s="42">
        <v>5417</v>
      </c>
      <c r="F90" s="6" t="s">
        <v>989</v>
      </c>
      <c r="G90" s="40">
        <v>1.7013981101190438</v>
      </c>
    </row>
    <row r="91" spans="1:7">
      <c r="A91" s="39">
        <v>89</v>
      </c>
      <c r="B91" s="6">
        <v>8</v>
      </c>
      <c r="C91" s="6">
        <v>5</v>
      </c>
      <c r="D91" s="44" t="s">
        <v>829</v>
      </c>
      <c r="E91" s="42">
        <v>4453</v>
      </c>
      <c r="F91" s="6" t="s">
        <v>1</v>
      </c>
      <c r="G91" s="40">
        <v>1.3454434843442868</v>
      </c>
    </row>
    <row r="92" spans="1:7">
      <c r="A92" s="39">
        <v>90</v>
      </c>
      <c r="B92" s="6">
        <v>4</v>
      </c>
      <c r="C92" s="6">
        <v>1</v>
      </c>
      <c r="D92" s="44" t="s">
        <v>831</v>
      </c>
      <c r="E92" s="42">
        <v>6179</v>
      </c>
      <c r="F92" s="6" t="s">
        <v>2</v>
      </c>
      <c r="G92" s="40">
        <v>2.1224441348313121</v>
      </c>
    </row>
    <row r="93" spans="1:7">
      <c r="A93" s="39">
        <v>91</v>
      </c>
      <c r="B93" s="6">
        <v>19</v>
      </c>
      <c r="C93" s="6">
        <v>4</v>
      </c>
      <c r="D93" s="44" t="s">
        <v>833</v>
      </c>
      <c r="E93" s="42">
        <v>1507</v>
      </c>
      <c r="F93" s="6" t="s">
        <v>989</v>
      </c>
      <c r="G93" s="40">
        <v>1.9085548552102409</v>
      </c>
    </row>
    <row r="94" spans="1:7">
      <c r="A94" s="39">
        <v>92</v>
      </c>
      <c r="B94" s="6">
        <v>9</v>
      </c>
      <c r="C94" s="6">
        <v>4</v>
      </c>
      <c r="D94" s="44" t="s">
        <v>835</v>
      </c>
      <c r="E94" s="42">
        <v>4513</v>
      </c>
      <c r="F94" s="6" t="s">
        <v>989</v>
      </c>
      <c r="G94" s="40">
        <v>2.3684397142933449</v>
      </c>
    </row>
    <row r="95" spans="1:7">
      <c r="A95" s="39">
        <v>93</v>
      </c>
      <c r="B95" s="6">
        <v>23</v>
      </c>
      <c r="C95" s="6">
        <v>4</v>
      </c>
      <c r="D95" s="44" t="s">
        <v>837</v>
      </c>
      <c r="E95" s="42">
        <v>3430</v>
      </c>
      <c r="F95" s="6" t="s">
        <v>2</v>
      </c>
      <c r="G95" s="40">
        <v>1.6191525042377179</v>
      </c>
    </row>
    <row r="96" spans="1:7">
      <c r="A96" s="39">
        <v>94</v>
      </c>
      <c r="B96" s="6">
        <v>12</v>
      </c>
      <c r="C96" s="6">
        <v>3</v>
      </c>
      <c r="D96" s="44" t="s">
        <v>840</v>
      </c>
      <c r="E96" s="42">
        <v>848</v>
      </c>
      <c r="F96" s="6" t="s">
        <v>0</v>
      </c>
      <c r="G96" s="40">
        <v>2.9998439054470509</v>
      </c>
    </row>
    <row r="97" spans="1:7">
      <c r="A97" s="39">
        <v>95</v>
      </c>
      <c r="B97" s="6">
        <v>17</v>
      </c>
      <c r="C97" s="6">
        <v>2</v>
      </c>
      <c r="D97" s="44" t="s">
        <v>842</v>
      </c>
      <c r="E97" s="42">
        <v>1364</v>
      </c>
      <c r="F97" s="6" t="s">
        <v>0</v>
      </c>
      <c r="G97" s="40">
        <v>1.5908274286193773</v>
      </c>
    </row>
    <row r="98" spans="1:7">
      <c r="A98" s="39">
        <v>96</v>
      </c>
      <c r="B98" s="6">
        <v>11</v>
      </c>
      <c r="C98" s="6">
        <v>2</v>
      </c>
      <c r="D98" s="44" t="s">
        <v>845</v>
      </c>
      <c r="E98" s="42">
        <v>1882</v>
      </c>
      <c r="F98" s="6" t="s">
        <v>0</v>
      </c>
      <c r="G98" s="40">
        <v>1.0701553542749025</v>
      </c>
    </row>
    <row r="99" spans="1:7">
      <c r="A99" s="39">
        <v>97</v>
      </c>
      <c r="B99" s="6">
        <v>1</v>
      </c>
      <c r="C99" s="6">
        <v>3</v>
      </c>
      <c r="D99" s="44" t="s">
        <v>846</v>
      </c>
      <c r="E99" s="42">
        <v>3356</v>
      </c>
      <c r="F99" s="6" t="s">
        <v>0</v>
      </c>
      <c r="G99" s="40">
        <v>2.0684303813613951</v>
      </c>
    </row>
    <row r="100" spans="1:7">
      <c r="A100" s="39">
        <v>98</v>
      </c>
      <c r="B100" s="6">
        <v>6</v>
      </c>
      <c r="C100" s="6">
        <v>4</v>
      </c>
      <c r="D100" s="44" t="s">
        <v>848</v>
      </c>
      <c r="E100" s="42">
        <v>1736</v>
      </c>
      <c r="F100" s="6" t="s">
        <v>989</v>
      </c>
      <c r="G100" s="40">
        <v>2.5942638381384313</v>
      </c>
    </row>
    <row r="101" spans="1:7">
      <c r="A101" s="39">
        <v>99</v>
      </c>
      <c r="B101" s="6">
        <v>22</v>
      </c>
      <c r="C101" s="6">
        <v>2</v>
      </c>
      <c r="D101" s="44" t="s">
        <v>850</v>
      </c>
      <c r="E101" s="42">
        <v>6543</v>
      </c>
      <c r="F101" s="6" t="s">
        <v>2</v>
      </c>
      <c r="G101" s="40">
        <v>1.1014783518039621</v>
      </c>
    </row>
    <row r="102" spans="1:7">
      <c r="A102" s="39">
        <v>100</v>
      </c>
      <c r="B102" s="6">
        <v>7</v>
      </c>
      <c r="C102" s="6">
        <v>2</v>
      </c>
      <c r="D102" s="44" t="s">
        <v>852</v>
      </c>
      <c r="E102" s="42">
        <v>6044</v>
      </c>
      <c r="F102" s="6" t="s">
        <v>989</v>
      </c>
      <c r="G102" s="40">
        <v>1.5273378772253636</v>
      </c>
    </row>
    <row r="103" spans="1:7">
      <c r="A103" s="39">
        <v>101</v>
      </c>
      <c r="B103" s="6">
        <v>5</v>
      </c>
      <c r="C103" s="6">
        <v>5</v>
      </c>
      <c r="D103" s="44" t="s">
        <v>854</v>
      </c>
      <c r="E103" s="42">
        <v>1492</v>
      </c>
      <c r="F103" s="6" t="s">
        <v>989</v>
      </c>
      <c r="G103" s="40">
        <v>1.9253861915349262</v>
      </c>
    </row>
    <row r="104" spans="1:7">
      <c r="A104" s="39">
        <v>102</v>
      </c>
      <c r="B104" s="6">
        <v>9</v>
      </c>
      <c r="C104" s="6">
        <v>2</v>
      </c>
      <c r="D104" s="44" t="s">
        <v>856</v>
      </c>
      <c r="E104" s="42">
        <v>4911</v>
      </c>
      <c r="F104" s="6" t="s">
        <v>0</v>
      </c>
      <c r="G104" s="40">
        <v>2.2714216407184722</v>
      </c>
    </row>
    <row r="105" spans="1:7">
      <c r="A105" s="39">
        <v>103</v>
      </c>
      <c r="B105" s="6">
        <v>2</v>
      </c>
      <c r="C105" s="6">
        <v>1</v>
      </c>
      <c r="D105" s="44" t="s">
        <v>857</v>
      </c>
      <c r="E105" s="42">
        <v>6665</v>
      </c>
      <c r="F105" s="6" t="s">
        <v>1</v>
      </c>
      <c r="G105" s="40">
        <v>2.6219067927304422</v>
      </c>
    </row>
    <row r="106" spans="1:7">
      <c r="A106" s="39">
        <v>104</v>
      </c>
      <c r="B106" s="6">
        <v>13</v>
      </c>
      <c r="C106" s="6">
        <v>3</v>
      </c>
      <c r="D106" s="44" t="s">
        <v>859</v>
      </c>
      <c r="E106" s="42">
        <v>3593</v>
      </c>
      <c r="F106" s="6" t="s">
        <v>1</v>
      </c>
      <c r="G106" s="40">
        <v>1.724045665061567</v>
      </c>
    </row>
    <row r="107" spans="1:7">
      <c r="A107" s="39">
        <v>105</v>
      </c>
      <c r="B107" s="6">
        <v>8</v>
      </c>
      <c r="C107" s="6">
        <v>5</v>
      </c>
      <c r="D107" s="44" t="s">
        <v>861</v>
      </c>
      <c r="E107" s="42">
        <v>3208</v>
      </c>
      <c r="F107" s="6" t="s">
        <v>1</v>
      </c>
      <c r="G107" s="40">
        <v>3.336738932877779</v>
      </c>
    </row>
    <row r="108" spans="1:7">
      <c r="A108" s="39">
        <v>106</v>
      </c>
      <c r="B108" s="6">
        <v>8</v>
      </c>
      <c r="C108" s="6">
        <v>1</v>
      </c>
      <c r="D108" s="44" t="s">
        <v>864</v>
      </c>
      <c r="E108" s="42">
        <v>934</v>
      </c>
      <c r="F108" s="6" t="s">
        <v>0</v>
      </c>
      <c r="G108" s="40">
        <v>1.8383191268658265</v>
      </c>
    </row>
    <row r="109" spans="1:7">
      <c r="A109" s="39">
        <v>107</v>
      </c>
      <c r="B109" s="6">
        <v>1</v>
      </c>
      <c r="C109" s="6">
        <v>1</v>
      </c>
      <c r="D109" s="44" t="s">
        <v>866</v>
      </c>
      <c r="E109" s="42">
        <v>2555</v>
      </c>
      <c r="F109" s="6" t="s">
        <v>989</v>
      </c>
      <c r="G109" s="40">
        <v>2.2605383997433819</v>
      </c>
    </row>
    <row r="110" spans="1:7">
      <c r="A110" s="39">
        <v>108</v>
      </c>
      <c r="B110" s="6">
        <v>11</v>
      </c>
      <c r="C110" s="6">
        <v>4</v>
      </c>
      <c r="D110" s="44" t="s">
        <v>869</v>
      </c>
      <c r="E110" s="42">
        <v>2404</v>
      </c>
      <c r="F110" s="6" t="s">
        <v>989</v>
      </c>
      <c r="G110" s="40">
        <v>1.0970218277652748</v>
      </c>
    </row>
    <row r="111" spans="1:7">
      <c r="A111" s="39">
        <v>109</v>
      </c>
      <c r="B111" s="6">
        <v>16</v>
      </c>
      <c r="C111" s="6">
        <v>2</v>
      </c>
      <c r="D111" s="44" t="s">
        <v>871</v>
      </c>
      <c r="E111" s="42">
        <v>967</v>
      </c>
      <c r="F111" s="6" t="s">
        <v>989</v>
      </c>
      <c r="G111" s="40">
        <v>2.0446004833065672</v>
      </c>
    </row>
    <row r="112" spans="1:7">
      <c r="A112" s="39">
        <v>110</v>
      </c>
      <c r="B112" s="6">
        <v>16</v>
      </c>
      <c r="C112" s="6">
        <v>5</v>
      </c>
      <c r="D112" s="44" t="s">
        <v>873</v>
      </c>
      <c r="E112" s="42">
        <v>3623</v>
      </c>
      <c r="F112" s="6" t="s">
        <v>2</v>
      </c>
      <c r="G112" s="40">
        <v>2.1971358187802252</v>
      </c>
    </row>
    <row r="113" spans="1:7">
      <c r="A113" s="39">
        <v>111</v>
      </c>
      <c r="B113" s="6">
        <v>9</v>
      </c>
      <c r="C113" s="6">
        <v>4</v>
      </c>
      <c r="D113" s="44" t="s">
        <v>875</v>
      </c>
      <c r="E113" s="42">
        <v>5630</v>
      </c>
      <c r="F113" s="6" t="s">
        <v>989</v>
      </c>
      <c r="G113" s="40">
        <v>2.00307920799969</v>
      </c>
    </row>
    <row r="114" spans="1:7">
      <c r="A114" s="39">
        <v>112</v>
      </c>
      <c r="B114" s="6">
        <v>18</v>
      </c>
      <c r="C114" s="6">
        <v>1</v>
      </c>
      <c r="D114" s="44" t="s">
        <v>877</v>
      </c>
      <c r="E114" s="42">
        <v>2850</v>
      </c>
      <c r="F114" s="6" t="s">
        <v>0</v>
      </c>
      <c r="G114" s="40">
        <v>2.2329727522010216</v>
      </c>
    </row>
    <row r="115" spans="1:7">
      <c r="A115" s="39">
        <v>113</v>
      </c>
      <c r="B115" s="6">
        <v>3</v>
      </c>
      <c r="C115" s="6">
        <v>3</v>
      </c>
      <c r="D115" s="44" t="s">
        <v>879</v>
      </c>
      <c r="E115" s="42">
        <v>4970</v>
      </c>
      <c r="F115" s="6" t="s">
        <v>2</v>
      </c>
      <c r="G115" s="40">
        <v>1.9759893398731947</v>
      </c>
    </row>
    <row r="116" spans="1:7">
      <c r="A116" s="39">
        <v>114</v>
      </c>
      <c r="B116" s="6">
        <v>7</v>
      </c>
      <c r="C116" s="6">
        <v>4</v>
      </c>
      <c r="D116" s="44" t="s">
        <v>881</v>
      </c>
      <c r="E116" s="42">
        <v>4618</v>
      </c>
      <c r="F116" s="6" t="s">
        <v>989</v>
      </c>
      <c r="G116" s="40">
        <v>1.2371385815204121</v>
      </c>
    </row>
    <row r="117" spans="1:7">
      <c r="A117" s="39">
        <v>115</v>
      </c>
      <c r="B117" s="6">
        <v>17</v>
      </c>
      <c r="C117" s="6">
        <v>2</v>
      </c>
      <c r="D117" s="44" t="s">
        <v>882</v>
      </c>
      <c r="E117" s="42">
        <v>6020</v>
      </c>
      <c r="F117" s="6" t="s">
        <v>2</v>
      </c>
      <c r="G117" s="40">
        <v>2.6474147085100412</v>
      </c>
    </row>
    <row r="118" spans="1:7">
      <c r="A118" s="39">
        <v>116</v>
      </c>
      <c r="B118" s="6">
        <v>19</v>
      </c>
      <c r="C118" s="6">
        <v>1</v>
      </c>
      <c r="D118" s="44" t="s">
        <v>884</v>
      </c>
      <c r="E118" s="42">
        <v>2893</v>
      </c>
      <c r="F118" s="6" t="s">
        <v>2</v>
      </c>
      <c r="G118" s="40">
        <v>1.9756829538455349</v>
      </c>
    </row>
    <row r="119" spans="1:7">
      <c r="A119" s="39">
        <v>117</v>
      </c>
      <c r="B119" s="6">
        <v>11</v>
      </c>
      <c r="C119" s="6">
        <v>4</v>
      </c>
      <c r="D119" s="44" t="s">
        <v>885</v>
      </c>
      <c r="E119" s="42">
        <v>1114</v>
      </c>
      <c r="F119" s="6" t="s">
        <v>0</v>
      </c>
      <c r="G119" s="40">
        <v>1.8695386693725595</v>
      </c>
    </row>
    <row r="120" spans="1:7">
      <c r="A120" s="39">
        <v>118</v>
      </c>
      <c r="B120" s="6">
        <v>1</v>
      </c>
      <c r="C120" s="6">
        <v>4</v>
      </c>
      <c r="D120" s="44" t="s">
        <v>887</v>
      </c>
      <c r="E120" s="42">
        <v>3883</v>
      </c>
      <c r="F120" s="6" t="s">
        <v>2</v>
      </c>
      <c r="G120" s="40">
        <v>1.8580267401848687</v>
      </c>
    </row>
    <row r="121" spans="1:7">
      <c r="A121" s="39">
        <v>119</v>
      </c>
      <c r="B121" s="6">
        <v>17</v>
      </c>
      <c r="C121" s="6">
        <v>3</v>
      </c>
      <c r="D121" s="44" t="s">
        <v>889</v>
      </c>
      <c r="E121" s="42">
        <v>3693</v>
      </c>
      <c r="F121" s="6" t="s">
        <v>989</v>
      </c>
      <c r="G121" s="40">
        <v>2.1377964053972391</v>
      </c>
    </row>
    <row r="122" spans="1:7">
      <c r="A122" s="39">
        <v>120</v>
      </c>
      <c r="B122" s="6">
        <v>8</v>
      </c>
      <c r="C122" s="6">
        <v>1</v>
      </c>
      <c r="D122" s="44" t="s">
        <v>892</v>
      </c>
      <c r="E122" s="42">
        <v>2209</v>
      </c>
      <c r="F122" s="6" t="s">
        <v>1</v>
      </c>
      <c r="G122" s="40">
        <v>2.1523181936136098</v>
      </c>
    </row>
    <row r="123" spans="1:7">
      <c r="A123" s="39">
        <v>121</v>
      </c>
      <c r="B123" s="6">
        <v>21</v>
      </c>
      <c r="C123" s="6">
        <v>3</v>
      </c>
      <c r="D123" s="44" t="s">
        <v>895</v>
      </c>
      <c r="E123" s="42">
        <v>1937</v>
      </c>
      <c r="F123" s="6" t="s">
        <v>1</v>
      </c>
      <c r="G123" s="40">
        <v>1.7517386418621754</v>
      </c>
    </row>
    <row r="124" spans="1:7">
      <c r="A124" s="39">
        <v>122</v>
      </c>
      <c r="B124" s="6">
        <v>20</v>
      </c>
      <c r="C124" s="6">
        <v>5</v>
      </c>
      <c r="D124" s="44" t="s">
        <v>897</v>
      </c>
      <c r="E124" s="42">
        <v>6709</v>
      </c>
      <c r="F124" s="6" t="s">
        <v>0</v>
      </c>
      <c r="G124" s="40">
        <v>1.8073212736926507</v>
      </c>
    </row>
    <row r="125" spans="1:7">
      <c r="A125" s="39">
        <v>123</v>
      </c>
      <c r="B125" s="6">
        <v>3</v>
      </c>
      <c r="C125" s="6">
        <v>5</v>
      </c>
      <c r="D125" s="44" t="s">
        <v>898</v>
      </c>
      <c r="E125" s="42">
        <v>3932</v>
      </c>
      <c r="F125" s="6" t="s">
        <v>989</v>
      </c>
      <c r="G125" s="40">
        <v>2.0695888502377784</v>
      </c>
    </row>
    <row r="126" spans="1:7">
      <c r="A126" s="39">
        <v>124</v>
      </c>
      <c r="B126" s="6">
        <v>15</v>
      </c>
      <c r="C126" s="6">
        <v>3</v>
      </c>
      <c r="D126" s="44" t="s">
        <v>900</v>
      </c>
      <c r="E126" s="42">
        <v>1715</v>
      </c>
      <c r="F126" s="6" t="s">
        <v>1</v>
      </c>
      <c r="G126" s="40">
        <v>1.9851377197046531</v>
      </c>
    </row>
    <row r="127" spans="1:7">
      <c r="A127" s="39">
        <v>125</v>
      </c>
      <c r="B127" s="6">
        <v>7</v>
      </c>
      <c r="C127" s="6">
        <v>1</v>
      </c>
      <c r="D127" s="44" t="s">
        <v>902</v>
      </c>
      <c r="E127" s="42">
        <v>4300</v>
      </c>
      <c r="F127" s="6" t="s">
        <v>989</v>
      </c>
      <c r="G127" s="40">
        <v>2.8909364623832516</v>
      </c>
    </row>
    <row r="128" spans="1:7">
      <c r="A128" s="39">
        <v>126</v>
      </c>
      <c r="B128" s="6">
        <v>23</v>
      </c>
      <c r="C128" s="6">
        <v>4</v>
      </c>
      <c r="D128" s="44" t="s">
        <v>904</v>
      </c>
      <c r="E128" s="42">
        <v>5931</v>
      </c>
      <c r="F128" s="6" t="s">
        <v>2</v>
      </c>
      <c r="G128" s="40">
        <v>1.9529796923525282</v>
      </c>
    </row>
    <row r="129" spans="1:7">
      <c r="A129" s="39">
        <v>127</v>
      </c>
      <c r="B129" s="6">
        <v>22</v>
      </c>
      <c r="C129" s="6">
        <v>4</v>
      </c>
      <c r="D129" s="44" t="s">
        <v>906</v>
      </c>
      <c r="E129" s="42">
        <v>745</v>
      </c>
      <c r="F129" s="6" t="s">
        <v>989</v>
      </c>
      <c r="G129" s="40">
        <v>1.959392198434216</v>
      </c>
    </row>
    <row r="130" spans="1:7">
      <c r="A130" s="39">
        <v>128</v>
      </c>
      <c r="B130" s="6">
        <v>17</v>
      </c>
      <c r="C130" s="6">
        <v>3</v>
      </c>
      <c r="D130" s="44" t="s">
        <v>909</v>
      </c>
      <c r="E130" s="42">
        <v>3756</v>
      </c>
      <c r="F130" s="6" t="s">
        <v>989</v>
      </c>
      <c r="G130" s="40">
        <v>2.1432476892659906</v>
      </c>
    </row>
    <row r="131" spans="1:7">
      <c r="A131" s="39">
        <v>129</v>
      </c>
      <c r="B131" s="6">
        <v>5</v>
      </c>
      <c r="C131" s="6">
        <v>4</v>
      </c>
      <c r="D131" s="44" t="s">
        <v>911</v>
      </c>
      <c r="E131" s="42">
        <v>6195</v>
      </c>
      <c r="F131" s="6" t="s">
        <v>2</v>
      </c>
      <c r="G131" s="40">
        <v>1.5236771610507276</v>
      </c>
    </row>
    <row r="132" spans="1:7">
      <c r="A132" s="39">
        <v>130</v>
      </c>
      <c r="B132" s="6">
        <v>9</v>
      </c>
      <c r="C132" s="6">
        <v>2</v>
      </c>
      <c r="D132" s="44" t="s">
        <v>913</v>
      </c>
      <c r="E132" s="42">
        <v>4549</v>
      </c>
      <c r="F132" s="6" t="s">
        <v>0</v>
      </c>
      <c r="G132" s="40">
        <v>2.1217745193571318</v>
      </c>
    </row>
    <row r="133" spans="1:7">
      <c r="A133" s="39">
        <v>131</v>
      </c>
      <c r="B133" s="6">
        <v>19</v>
      </c>
      <c r="C133" s="6">
        <v>5</v>
      </c>
      <c r="D133" s="44" t="s">
        <v>916</v>
      </c>
      <c r="E133" s="42">
        <v>5274</v>
      </c>
      <c r="F133" s="6" t="s">
        <v>2</v>
      </c>
      <c r="G133" s="40">
        <v>1.7227530457166722</v>
      </c>
    </row>
    <row r="134" spans="1:7">
      <c r="A134" s="39">
        <v>132</v>
      </c>
      <c r="B134" s="6">
        <v>1</v>
      </c>
      <c r="C134" s="6">
        <v>4</v>
      </c>
      <c r="D134" s="44" t="s">
        <v>917</v>
      </c>
      <c r="E134" s="42">
        <v>4938</v>
      </c>
      <c r="F134" s="6" t="s">
        <v>989</v>
      </c>
      <c r="G134" s="40">
        <v>3.2985765351913869</v>
      </c>
    </row>
    <row r="135" spans="1:7">
      <c r="A135" s="39">
        <v>133</v>
      </c>
      <c r="B135" s="6">
        <v>19</v>
      </c>
      <c r="C135" s="6">
        <v>5</v>
      </c>
      <c r="D135" s="44" t="s">
        <v>919</v>
      </c>
      <c r="E135" s="42">
        <v>5967</v>
      </c>
      <c r="F135" s="6" t="s">
        <v>0</v>
      </c>
      <c r="G135" s="40">
        <v>2.7175663085945416</v>
      </c>
    </row>
    <row r="136" spans="1:7">
      <c r="A136" s="39">
        <v>134</v>
      </c>
      <c r="B136" s="6">
        <v>18</v>
      </c>
      <c r="C136" s="6">
        <v>5</v>
      </c>
      <c r="D136" s="44" t="s">
        <v>921</v>
      </c>
      <c r="E136" s="42">
        <v>1179</v>
      </c>
      <c r="F136" s="6" t="s">
        <v>989</v>
      </c>
      <c r="G136" s="40">
        <v>1.7198045775803621</v>
      </c>
    </row>
    <row r="137" spans="1:7">
      <c r="A137" s="39">
        <v>135</v>
      </c>
      <c r="B137" s="6">
        <v>13</v>
      </c>
      <c r="C137" s="6">
        <v>2</v>
      </c>
      <c r="D137" s="44" t="s">
        <v>923</v>
      </c>
      <c r="E137" s="42">
        <v>6677</v>
      </c>
      <c r="F137" s="6" t="s">
        <v>2</v>
      </c>
      <c r="G137" s="40">
        <v>1.8482428509305464</v>
      </c>
    </row>
    <row r="138" spans="1:7">
      <c r="A138" s="39">
        <v>136</v>
      </c>
      <c r="B138" s="6">
        <v>16</v>
      </c>
      <c r="C138" s="6">
        <v>3</v>
      </c>
      <c r="D138" s="44" t="s">
        <v>925</v>
      </c>
      <c r="E138" s="42">
        <v>5932</v>
      </c>
      <c r="F138" s="6" t="s">
        <v>1</v>
      </c>
      <c r="G138" s="40">
        <v>1.4814527326525422</v>
      </c>
    </row>
    <row r="139" spans="1:7">
      <c r="A139" s="39">
        <v>137</v>
      </c>
      <c r="B139" s="6">
        <v>15</v>
      </c>
      <c r="C139" s="6">
        <v>1</v>
      </c>
      <c r="D139" s="44" t="s">
        <v>927</v>
      </c>
      <c r="E139" s="42">
        <v>5565</v>
      </c>
      <c r="F139" s="6" t="s">
        <v>2</v>
      </c>
      <c r="G139" s="40">
        <v>1.8803127709834371</v>
      </c>
    </row>
    <row r="140" spans="1:7">
      <c r="A140" s="39">
        <v>138</v>
      </c>
      <c r="B140" s="6">
        <v>3</v>
      </c>
      <c r="C140" s="6">
        <v>4</v>
      </c>
      <c r="D140" s="44" t="s">
        <v>929</v>
      </c>
      <c r="E140" s="42">
        <v>3927</v>
      </c>
      <c r="F140" s="6" t="s">
        <v>989</v>
      </c>
      <c r="G140" s="40">
        <v>1.7727252321055857</v>
      </c>
    </row>
    <row r="141" spans="1:7">
      <c r="A141" s="39">
        <v>139</v>
      </c>
      <c r="B141" s="6">
        <v>10</v>
      </c>
      <c r="C141" s="6">
        <v>1</v>
      </c>
      <c r="D141" s="44" t="s">
        <v>931</v>
      </c>
      <c r="E141" s="42">
        <v>2571</v>
      </c>
      <c r="F141" s="6" t="s">
        <v>989</v>
      </c>
      <c r="G141" s="40">
        <v>2.6010611741658067</v>
      </c>
    </row>
    <row r="142" spans="1:7">
      <c r="A142" s="39">
        <v>140</v>
      </c>
      <c r="B142" s="6">
        <v>15</v>
      </c>
      <c r="C142" s="6">
        <v>2</v>
      </c>
      <c r="D142" s="44" t="s">
        <v>933</v>
      </c>
      <c r="E142" s="42">
        <v>3903</v>
      </c>
      <c r="F142" s="6" t="s">
        <v>989</v>
      </c>
      <c r="G142" s="40">
        <v>2.1508760760771111</v>
      </c>
    </row>
    <row r="143" spans="1:7">
      <c r="A143" s="39">
        <v>141</v>
      </c>
      <c r="B143" s="6">
        <v>23</v>
      </c>
      <c r="C143" s="6">
        <v>5</v>
      </c>
      <c r="D143" s="44" t="s">
        <v>355</v>
      </c>
      <c r="E143" s="42">
        <v>3105</v>
      </c>
      <c r="F143" s="6" t="s">
        <v>1</v>
      </c>
      <c r="G143" s="40">
        <v>2.0777481545810588</v>
      </c>
    </row>
    <row r="144" spans="1:7">
      <c r="A144" s="39">
        <v>142</v>
      </c>
      <c r="B144" s="6">
        <v>14</v>
      </c>
      <c r="C144" s="6">
        <v>1</v>
      </c>
      <c r="D144" s="44" t="s">
        <v>358</v>
      </c>
      <c r="E144" s="42">
        <v>6525</v>
      </c>
      <c r="F144" s="6" t="s">
        <v>989</v>
      </c>
      <c r="G144" s="40">
        <v>2.1774407110133325</v>
      </c>
    </row>
    <row r="145" spans="1:7">
      <c r="A145" s="39">
        <v>143</v>
      </c>
      <c r="B145" s="6">
        <v>6</v>
      </c>
      <c r="C145" s="6">
        <v>1</v>
      </c>
      <c r="D145" s="44" t="s">
        <v>359</v>
      </c>
      <c r="E145" s="42">
        <v>6255</v>
      </c>
      <c r="F145" s="6" t="s">
        <v>989</v>
      </c>
      <c r="G145" s="40">
        <v>1.5468317592894891</v>
      </c>
    </row>
    <row r="146" spans="1:7">
      <c r="A146" s="39">
        <v>144</v>
      </c>
      <c r="B146" s="6">
        <v>1</v>
      </c>
      <c r="C146" s="6">
        <v>5</v>
      </c>
      <c r="D146" s="44" t="s">
        <v>361</v>
      </c>
      <c r="E146" s="42">
        <v>5107</v>
      </c>
      <c r="F146" s="6" t="s">
        <v>2</v>
      </c>
      <c r="G146" s="40">
        <v>1.6583363781610387</v>
      </c>
    </row>
    <row r="147" spans="1:7">
      <c r="A147" s="39">
        <v>145</v>
      </c>
      <c r="B147" s="6">
        <v>13</v>
      </c>
      <c r="C147" s="6">
        <v>1</v>
      </c>
      <c r="D147" s="44" t="s">
        <v>365</v>
      </c>
      <c r="E147" s="42">
        <v>2690</v>
      </c>
      <c r="F147" s="6" t="s">
        <v>989</v>
      </c>
      <c r="G147" s="40">
        <v>1.8831060565862572</v>
      </c>
    </row>
    <row r="148" spans="1:7">
      <c r="A148" s="39">
        <v>146</v>
      </c>
      <c r="B148" s="6">
        <v>12</v>
      </c>
      <c r="C148" s="6">
        <v>1</v>
      </c>
      <c r="D148" s="44" t="s">
        <v>367</v>
      </c>
      <c r="E148" s="42">
        <v>4488</v>
      </c>
      <c r="F148" s="6" t="s">
        <v>989</v>
      </c>
      <c r="G148" s="40">
        <v>1.0821697792853229</v>
      </c>
    </row>
    <row r="149" spans="1:7">
      <c r="A149" s="39">
        <v>147</v>
      </c>
      <c r="B149" s="6">
        <v>20</v>
      </c>
      <c r="C149" s="6">
        <v>2</v>
      </c>
      <c r="D149" s="44" t="s">
        <v>371</v>
      </c>
      <c r="E149" s="42">
        <v>6278</v>
      </c>
      <c r="F149" s="6" t="s">
        <v>989</v>
      </c>
      <c r="G149" s="40">
        <v>2.4613036708178697</v>
      </c>
    </row>
    <row r="150" spans="1:7">
      <c r="A150" s="39">
        <v>148</v>
      </c>
      <c r="B150" s="6">
        <v>3</v>
      </c>
      <c r="C150" s="6">
        <v>3</v>
      </c>
      <c r="D150" s="44" t="s">
        <v>372</v>
      </c>
      <c r="E150" s="42">
        <v>3330</v>
      </c>
      <c r="F150" s="6" t="s">
        <v>2</v>
      </c>
      <c r="G150" s="40">
        <v>0.51876054890453815</v>
      </c>
    </row>
    <row r="151" spans="1:7">
      <c r="A151" s="39">
        <v>149</v>
      </c>
      <c r="B151" s="6">
        <v>4</v>
      </c>
      <c r="C151" s="6">
        <v>4</v>
      </c>
      <c r="D151" s="44" t="s">
        <v>374</v>
      </c>
      <c r="E151" s="42">
        <v>2251</v>
      </c>
      <c r="F151" s="6" t="s">
        <v>2</v>
      </c>
      <c r="G151" s="40">
        <v>2.2596624426587368</v>
      </c>
    </row>
    <row r="152" spans="1:7">
      <c r="A152" s="39">
        <v>150</v>
      </c>
      <c r="B152" s="6">
        <v>18</v>
      </c>
      <c r="C152" s="6">
        <v>5</v>
      </c>
      <c r="D152" s="44" t="s">
        <v>936</v>
      </c>
      <c r="E152" s="42">
        <v>3067</v>
      </c>
      <c r="F152" s="6" t="s">
        <v>2</v>
      </c>
      <c r="G152" s="40">
        <v>2.3924014890799299</v>
      </c>
    </row>
    <row r="153" spans="1:7">
      <c r="A153" s="39">
        <v>151</v>
      </c>
      <c r="B153" s="6">
        <v>11</v>
      </c>
      <c r="C153" s="6">
        <v>4</v>
      </c>
      <c r="D153" s="44" t="s">
        <v>940</v>
      </c>
      <c r="E153" s="42">
        <v>4979</v>
      </c>
      <c r="F153" s="6" t="s">
        <v>1</v>
      </c>
      <c r="G153" s="40">
        <v>2.525806171935983</v>
      </c>
    </row>
    <row r="154" spans="1:7">
      <c r="A154" s="39">
        <v>152</v>
      </c>
      <c r="B154" s="6">
        <v>23</v>
      </c>
      <c r="C154" s="6">
        <v>5</v>
      </c>
      <c r="D154" s="44" t="s">
        <v>385</v>
      </c>
      <c r="E154" s="42">
        <v>2473</v>
      </c>
      <c r="F154" s="6" t="s">
        <v>989</v>
      </c>
      <c r="G154" s="40">
        <v>2.1347791567241075</v>
      </c>
    </row>
    <row r="155" spans="1:7">
      <c r="A155" s="39">
        <v>153</v>
      </c>
      <c r="B155" s="6">
        <v>20</v>
      </c>
      <c r="C155" s="6">
        <v>1</v>
      </c>
      <c r="D155" s="44" t="s">
        <v>388</v>
      </c>
      <c r="E155" s="42">
        <v>6958</v>
      </c>
      <c r="F155" s="6" t="s">
        <v>989</v>
      </c>
      <c r="G155" s="40">
        <v>1.4576148765190737</v>
      </c>
    </row>
    <row r="156" spans="1:7">
      <c r="A156" s="39">
        <v>154</v>
      </c>
      <c r="B156" s="6">
        <v>18</v>
      </c>
      <c r="C156" s="6">
        <v>5</v>
      </c>
      <c r="D156" s="44" t="s">
        <v>389</v>
      </c>
      <c r="E156" s="42">
        <v>4422</v>
      </c>
      <c r="F156" s="6" t="s">
        <v>989</v>
      </c>
      <c r="G156" s="40">
        <v>2.1739829258440295</v>
      </c>
    </row>
    <row r="157" spans="1:7">
      <c r="A157" s="39">
        <v>155</v>
      </c>
      <c r="B157" s="6">
        <v>20</v>
      </c>
      <c r="C157" s="6">
        <v>1</v>
      </c>
      <c r="D157" s="44" t="s">
        <v>392</v>
      </c>
      <c r="E157" s="42">
        <v>4279</v>
      </c>
      <c r="F157" s="6" t="s">
        <v>1</v>
      </c>
      <c r="G157" s="40">
        <v>2.8426741260336712</v>
      </c>
    </row>
    <row r="158" spans="1:7">
      <c r="A158" s="39">
        <v>156</v>
      </c>
      <c r="B158" s="6">
        <v>13</v>
      </c>
      <c r="C158" s="6">
        <v>4</v>
      </c>
      <c r="D158" s="44" t="s">
        <v>393</v>
      </c>
      <c r="E158" s="42">
        <v>4896</v>
      </c>
      <c r="F158" s="6" t="s">
        <v>1</v>
      </c>
      <c r="G158" s="40">
        <v>2.3984666818723781</v>
      </c>
    </row>
    <row r="159" spans="1:7">
      <c r="A159" s="39">
        <v>157</v>
      </c>
      <c r="B159" s="6">
        <v>11</v>
      </c>
      <c r="C159" s="6">
        <v>1</v>
      </c>
      <c r="D159" s="44" t="s">
        <v>395</v>
      </c>
      <c r="E159" s="42">
        <v>823</v>
      </c>
      <c r="F159" s="6" t="s">
        <v>989</v>
      </c>
      <c r="G159" s="40">
        <v>2.3915693014278077</v>
      </c>
    </row>
    <row r="160" spans="1:7">
      <c r="A160" s="39">
        <v>158</v>
      </c>
      <c r="B160" s="6">
        <v>16</v>
      </c>
      <c r="C160" s="6">
        <v>1</v>
      </c>
      <c r="D160" s="44" t="s">
        <v>399</v>
      </c>
      <c r="E160" s="42">
        <v>4043</v>
      </c>
      <c r="F160" s="6" t="s">
        <v>1</v>
      </c>
      <c r="G160" s="40">
        <v>1.6428573467710521</v>
      </c>
    </row>
    <row r="161" spans="1:7">
      <c r="A161" s="39">
        <v>159</v>
      </c>
      <c r="B161" s="6">
        <v>5</v>
      </c>
      <c r="C161" s="6">
        <v>1</v>
      </c>
      <c r="D161" s="44" t="s">
        <v>401</v>
      </c>
      <c r="E161" s="42">
        <v>1362</v>
      </c>
      <c r="F161" s="6" t="s">
        <v>989</v>
      </c>
      <c r="G161" s="40">
        <v>1.6784487166223698</v>
      </c>
    </row>
    <row r="162" spans="1:7">
      <c r="A162" s="39">
        <v>160</v>
      </c>
      <c r="B162" s="6">
        <v>14</v>
      </c>
      <c r="C162" s="6">
        <v>2</v>
      </c>
      <c r="D162" s="44" t="s">
        <v>404</v>
      </c>
      <c r="E162" s="42">
        <v>1311</v>
      </c>
      <c r="F162" s="6" t="s">
        <v>989</v>
      </c>
      <c r="G162" s="40">
        <v>1.8716350546601461</v>
      </c>
    </row>
    <row r="163" spans="1:7">
      <c r="A163" s="39">
        <v>161</v>
      </c>
      <c r="B163" s="6">
        <v>16</v>
      </c>
      <c r="C163" s="6">
        <v>5</v>
      </c>
      <c r="D163" s="44" t="s">
        <v>944</v>
      </c>
      <c r="E163" s="42">
        <v>2110</v>
      </c>
      <c r="F163" s="6" t="s">
        <v>1</v>
      </c>
      <c r="G163" s="40">
        <v>2.3791626568272477</v>
      </c>
    </row>
    <row r="164" spans="1:7">
      <c r="A164" s="39">
        <v>162</v>
      </c>
      <c r="B164" s="6">
        <v>13</v>
      </c>
      <c r="C164" s="6">
        <v>1</v>
      </c>
      <c r="D164" s="44" t="s">
        <v>946</v>
      </c>
      <c r="E164" s="42">
        <v>1806</v>
      </c>
      <c r="F164" s="6" t="s">
        <v>989</v>
      </c>
      <c r="G164" s="40">
        <v>2.0383823817173834</v>
      </c>
    </row>
    <row r="165" spans="1:7">
      <c r="A165" s="39">
        <v>163</v>
      </c>
      <c r="B165" s="6">
        <v>5</v>
      </c>
      <c r="C165" s="6">
        <v>5</v>
      </c>
      <c r="D165" s="44" t="s">
        <v>947</v>
      </c>
      <c r="E165" s="42">
        <v>7000</v>
      </c>
      <c r="F165" s="6" t="s">
        <v>989</v>
      </c>
      <c r="G165" s="40">
        <v>1.7551941532947239</v>
      </c>
    </row>
    <row r="166" spans="1:7">
      <c r="A166" s="39">
        <v>164</v>
      </c>
      <c r="B166" s="6">
        <v>16</v>
      </c>
      <c r="C166" s="6">
        <v>5</v>
      </c>
      <c r="D166" s="44" t="s">
        <v>948</v>
      </c>
      <c r="E166" s="42">
        <v>865</v>
      </c>
      <c r="F166" s="6" t="s">
        <v>989</v>
      </c>
      <c r="G166" s="40">
        <v>1.6073381680616876</v>
      </c>
    </row>
    <row r="167" spans="1:7">
      <c r="A167" s="39">
        <v>165</v>
      </c>
      <c r="B167" s="6">
        <v>19</v>
      </c>
      <c r="C167" s="6">
        <v>3</v>
      </c>
      <c r="D167" s="44" t="s">
        <v>950</v>
      </c>
      <c r="E167" s="42">
        <v>3218</v>
      </c>
      <c r="F167" s="6" t="s">
        <v>989</v>
      </c>
      <c r="G167" s="40">
        <v>1.3575079315633047</v>
      </c>
    </row>
    <row r="168" spans="1:7">
      <c r="A168" s="39">
        <v>166</v>
      </c>
      <c r="B168" s="6">
        <v>13</v>
      </c>
      <c r="C168" s="6">
        <v>2</v>
      </c>
      <c r="D168" s="44" t="s">
        <v>416</v>
      </c>
      <c r="E168" s="42">
        <v>6835</v>
      </c>
      <c r="F168" s="6" t="s">
        <v>1</v>
      </c>
      <c r="G168" s="40">
        <v>1.4609095210762462</v>
      </c>
    </row>
    <row r="169" spans="1:7">
      <c r="A169" s="39">
        <v>167</v>
      </c>
      <c r="B169" s="6">
        <v>10</v>
      </c>
      <c r="C169" s="6">
        <v>1</v>
      </c>
      <c r="D169" s="44" t="s">
        <v>417</v>
      </c>
      <c r="E169" s="42">
        <v>5107</v>
      </c>
      <c r="F169" s="6" t="s">
        <v>1</v>
      </c>
      <c r="G169" s="40">
        <v>0.9303432812448591</v>
      </c>
    </row>
    <row r="170" spans="1:7">
      <c r="A170" s="39">
        <v>168</v>
      </c>
      <c r="B170" s="6">
        <v>19</v>
      </c>
      <c r="C170" s="6">
        <v>4</v>
      </c>
      <c r="D170" s="44" t="s">
        <v>419</v>
      </c>
      <c r="E170" s="42">
        <v>4254</v>
      </c>
      <c r="F170" s="6" t="s">
        <v>989</v>
      </c>
      <c r="G170" s="40">
        <v>2.2293973011546768</v>
      </c>
    </row>
    <row r="171" spans="1:7">
      <c r="A171" s="39">
        <v>169</v>
      </c>
      <c r="B171" s="6">
        <v>21</v>
      </c>
      <c r="C171" s="6">
        <v>4</v>
      </c>
      <c r="D171" s="44" t="s">
        <v>421</v>
      </c>
      <c r="E171" s="42">
        <v>770</v>
      </c>
      <c r="F171" s="6" t="s">
        <v>989</v>
      </c>
      <c r="G171" s="40">
        <v>1.9721211452197167</v>
      </c>
    </row>
    <row r="172" spans="1:7">
      <c r="A172" s="39">
        <v>170</v>
      </c>
      <c r="B172" s="6">
        <v>23</v>
      </c>
      <c r="C172" s="6">
        <v>3</v>
      </c>
      <c r="D172" s="44" t="s">
        <v>423</v>
      </c>
      <c r="E172" s="42">
        <v>6099</v>
      </c>
      <c r="F172" s="6" t="s">
        <v>989</v>
      </c>
      <c r="G172" s="40">
        <v>1.7213251390348887</v>
      </c>
    </row>
    <row r="173" spans="1:7">
      <c r="A173" s="39">
        <v>171</v>
      </c>
      <c r="B173" s="6">
        <v>4</v>
      </c>
      <c r="C173" s="6">
        <v>2</v>
      </c>
      <c r="D173" s="44" t="s">
        <v>425</v>
      </c>
      <c r="E173" s="42">
        <v>2635</v>
      </c>
      <c r="F173" s="6" t="s">
        <v>989</v>
      </c>
      <c r="G173" s="40">
        <v>1.4609095210762462</v>
      </c>
    </row>
    <row r="174" spans="1:7">
      <c r="A174" s="28">
        <v>172</v>
      </c>
      <c r="B174" s="21">
        <v>5</v>
      </c>
      <c r="C174" s="21">
        <v>2</v>
      </c>
      <c r="D174" s="45" t="s">
        <v>952</v>
      </c>
      <c r="E174" s="43">
        <v>3762</v>
      </c>
      <c r="F174" s="21" t="s">
        <v>2</v>
      </c>
      <c r="G174" s="27">
        <v>0.9303432812448591</v>
      </c>
    </row>
  </sheetData>
  <mergeCells count="3">
    <mergeCell ref="I6:J6"/>
    <mergeCell ref="I7:J7"/>
    <mergeCell ref="I8:J8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گزارش شیفت</vt:lpstr>
      <vt:lpstr>واحد فرآیند</vt:lpstr>
      <vt:lpstr>جریان مواد</vt:lpstr>
      <vt:lpstr>جریان محصول</vt:lpstr>
      <vt:lpstr>تحلیل شیمیایی</vt:lpstr>
      <vt:lpstr>مشتری </vt:lpstr>
      <vt:lpstr>.محموله order</vt:lpstr>
      <vt:lpstr>کارکنان </vt:lpstr>
      <vt:lpstr>موجودی انبار</vt:lpstr>
      <vt:lpstr>نگهداری تعمیرات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Shakerian</dc:creator>
  <cp:lastModifiedBy>Zahra Ranjbar </cp:lastModifiedBy>
  <dcterms:created xsi:type="dcterms:W3CDTF">2015-06-05T18:17:20Z</dcterms:created>
  <dcterms:modified xsi:type="dcterms:W3CDTF">2025-06-18T10:36:15Z</dcterms:modified>
</cp:coreProperties>
</file>